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unioxfordnexus-my.sharepoint.com/personal/pubh0400_ox_ac_uk/Documents/Projects/lassa_vaccination_HCWs/hospital_model/"/>
    </mc:Choice>
  </mc:AlternateContent>
  <xr:revisionPtr revIDLastSave="15" documentId="8_{A7E27538-F1D2-4D4F-B01E-77D2C1CAAC85}" xr6:coauthVersionLast="47" xr6:coauthVersionMax="47" xr10:uidLastSave="{7D5D9F4A-9571-4192-A9AF-8FFED18F66C5}"/>
  <bookViews>
    <workbookView xWindow="30720" yWindow="750" windowWidth="25095" windowHeight="14040" xr2:uid="{F91B1AF2-603E-45DE-A9BA-28F0EBAC96B1}"/>
  </bookViews>
  <sheets>
    <sheet name="Data Extraction Table" sheetId="1" r:id="rId1"/>
    <sheet name="PRISMA diagram" sheetId="2" r:id="rId2"/>
  </sheets>
  <definedNames>
    <definedName name="_xlnm._FilterDatabase" localSheetId="0" hidden="1">'Data Extraction Table'!$A$1:$U$23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1" l="1"/>
  <c r="L16" i="1"/>
  <c r="L1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tc={8D9DB778-55CE-401D-9A52-5BB33C8ADC8E}</author>
    <author>tc={6700C420-91B7-460C-B1A1-AC31C13FDCCA}</author>
    <author>tc={94169452-35C3-4B7E-AA17-E3CCD9C07789}</author>
    <author>tc={FDD4166A-5638-4FFF-B016-16C4725A7904}</author>
    <author>tc={7AF588FB-B7AA-4A8E-BD2A-236D6E2F6E2F}</author>
    <author>tc={2D196DA6-3BEF-4C32-A242-BC96E3EE2F1D}</author>
    <author>tc={050D572B-FE91-40F7-A2DC-28EE05152C30}</author>
    <author>tc={ED8E1365-1D2A-48D9-9ADA-F2AB1D265AE1}</author>
    <author>tc={0950EE12-8DA1-45A1-8E1B-4961010552E3}</author>
    <author>tc={B83A2E41-AE5A-4137-8136-8E8C4B7C8C6D}</author>
    <author>tc={8C4812C0-6CFA-4DB4-A315-9E4DD0B4ADF3}</author>
    <author>tc={F0DAD7A5-E6E9-4071-A558-C9839ACD7A16}</author>
    <author>tc={3624A1DD-1C1C-4521-8A6C-9B4A2D33C2DB}</author>
    <author>tc={1DBAEE51-BBD6-4D20-92C9-4F05782F7C88}</author>
    <author>tc={EB26D7E2-8E05-4266-9384-96EDB9E90A03}</author>
    <author>tc={65605404-4C3D-4C68-AEEE-E9E1DC7B4318}</author>
    <author>tc={EEC620C2-36EF-4E24-8F98-3455737C80D3}</author>
    <author>tc={904E656C-419A-4F51-AB9E-02A857DD97D9}</author>
    <author>tc={8A876680-235C-46DD-AE51-4F09C4277C97}</author>
    <author>tc={6DB260ED-8C86-4C48-B0B4-DB30C0C4B13C}</author>
    <author>tc={5A22DA05-2659-4866-8911-11DEC700E3A1}</author>
    <author>tc={5AEB13C5-D2C8-46C6-BA3B-1B2F91849E82}</author>
    <author>tc={7936EB7A-CFEC-4AC1-A59E-C255DB3C3B35}</author>
    <author>tc={D117A162-3813-49D6-8FAB-C99DC923D754}</author>
    <author>tc={30C76E82-D2E3-402B-A84D-AEA822981A8A}</author>
    <author>tc={C119BA3E-D9F6-4BA0-AC7E-8838E8C0949A}</author>
    <author>tc={F7094809-6C3D-44F5-ABCD-050CBB76E47E}</author>
    <author>tc={DD9B284D-60F9-409A-9B8B-7664A307D6A2}</author>
    <author>tc={BAC03B68-999B-46A3-B71B-DB4D270EE153}</author>
    <author>tc={47E041C3-9377-4A65-9963-984F0B48BC10}</author>
    <author>tc={01B4286A-3B3A-43C9-8DC2-F7806D8798E9}</author>
  </authors>
  <commentList>
    <comment ref="G1" authorId="0" shapeId="0" xr:uid="{8D9DB778-55CE-401D-9A52-5BB33C8ADC8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If change to contains info on HCW infections, they would all be ‘y’</t>
        </r>
      </text>
    </comment>
    <comment ref="L2" authorId="1" shapeId="0" xr:uid="{6700C420-91B7-460C-B1A1-AC31C13FDCC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8 in hospital, 4 from contact tracing</t>
        </r>
      </text>
    </comment>
    <comment ref="M2" authorId="2" shapeId="0" xr:uid="{94169452-35C3-4B7E-AA17-E3CCD9C0778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24 in hospital, 4 from contact tracing</t>
        </r>
      </text>
    </comment>
    <comment ref="P2" authorId="3" shapeId="0" xr:uid="{FDD4166A-5638-4FFF-B016-16C4725A790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Hospital staff - includes 1 scrub nurse, 1 ‘hospital worker’, 2 ward cleaners and 1 not clear but may have been ‘autopsy accident’</t>
        </r>
      </text>
    </comment>
    <comment ref="R2" authorId="4" shapeId="0" xr:uid="{7AF588FB-B7AA-4A8E-BD2A-236D6E2F6E2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8 deaths in confirmed cases</t>
        </r>
      </text>
    </comment>
    <comment ref="G3" authorId="5" shapeId="0" xr:uid="{2D196DA6-3BEF-4C32-A242-BC96E3EE2F1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Same outbreak as Monath 1973</t>
        </r>
      </text>
    </comment>
    <comment ref="G4" authorId="6" shapeId="0" xr:uid="{050D572B-FE91-40F7-A2DC-28EE05152C3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Same outbreak as Mertens 1973</t>
        </r>
      </text>
    </comment>
    <comment ref="K5" authorId="7" shapeId="0" xr:uid="{ED8E1365-1D2A-48D9-9ADA-F2AB1D265AE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9 of 10 observed during epidemic investigation confirmed serologically or by virus isolation. From convalescent sera (19) 9 found positive for CF antibody and 2 by virus isolation. Total = 20. This is not clearly stated by the paper so may not be reliable.</t>
        </r>
      </text>
    </comment>
    <comment ref="M5" authorId="8" shapeId="0" xr:uid="{0950EE12-8DA1-45A1-8E1B-4961010552E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On basis of recorded signs and symptoms - 68% of these met the criteria for ‘probable’ LF.</t>
        </r>
      </text>
    </comment>
    <comment ref="P5" authorId="9" shapeId="0" xr:uid="{B83A2E41-AE5A-4137-8136-8E8C4B7C8C6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4 nurses and 1 lab technician</t>
        </r>
      </text>
    </comment>
    <comment ref="K8" authorId="10" shapeId="0" xr:uid="{8C4812C0-6CFA-4DB4-A315-9E4DD0B4ADF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Antibodies by CF</t>
        </r>
      </text>
    </comment>
    <comment ref="U9" authorId="11" shapeId="0" xr:uid="{F0DAD7A5-E6E9-4071-A558-C9839ACD7A16}">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 paper is quite confusing and the numbers aren’t clear how they combine to give the totals in the abstract. </t>
        </r>
      </text>
    </comment>
    <comment ref="N10" authorId="12" shapeId="0" xr:uid="{3624A1DD-1C1C-4521-8A6C-9B4A2D33C2D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Lafia General hospital 55 HCW tested, 11 had antibody. 6 of whom had IgM - 5 ward aids and 1 nurse</t>
        </r>
      </text>
    </comment>
    <comment ref="P10" authorId="13" shapeId="0" xr:uid="{1DBAEE51-BBD6-4D20-92C9-4F05782F7C8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Lafia General hospital 55 HCW tested, 11 had antibody. 6 of whom had IgM - 5 ward aids and 1 nurse</t>
        </r>
      </text>
    </comment>
    <comment ref="M12" authorId="14" shapeId="0" xr:uid="{EB26D7E2-8E05-4266-9384-96EDB9E90A0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Of these 20, 10 had the occupation health care worker, but only 6 were nosocomial infections</t>
        </r>
      </text>
    </comment>
    <comment ref="O12" authorId="15" shapeId="0" xr:uid="{65605404-4C3D-4C68-AEEE-E9E1DC7B431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“epidemiologically confirmed” - contact of a confirmed case, signs and symptoms consistent, lab results either unavailable or negative</t>
        </r>
      </text>
    </comment>
    <comment ref="S12" authorId="16" shapeId="0" xr:uid="{EEC620C2-36EF-4E24-8F98-3455737C80D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“All the surviving health care workers requested discharge and transfer to the national center for LF management and care after 4-6 days of care… One of the transferred cases died at the referral center.”</t>
        </r>
      </text>
    </comment>
    <comment ref="N13" authorId="17" shapeId="0" xr:uid="{904E656C-419A-4F51-AB9E-02A857DD97D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By RT-PCR</t>
        </r>
      </text>
    </comment>
    <comment ref="L14" authorId="18" shapeId="0" xr:uid="{8A876680-235C-46DD-AE51-4F09C4277C9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Negative RT-PCR</t>
        </r>
      </text>
    </comment>
    <comment ref="O14" authorId="19" shapeId="0" xr:uid="{6DB260ED-8C86-4C48-B0B4-DB30C0C4B13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Negative RT-PCR</t>
        </r>
      </text>
    </comment>
    <comment ref="M17" authorId="20" shapeId="0" xr:uid="{5A22DA05-2659-4866-8911-11DEC700E3A1}">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Includes 423 lab-confirmed cases and 10 probable cases (ie patient died before testing)
</t>
        </r>
      </text>
    </comment>
    <comment ref="P17" authorId="21" shapeId="0" xr:uid="{5AEB13C5-D2C8-46C6-BA3B-1B2F91849E8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It is implied that these are lab-confirmed but not clearly stated.</t>
        </r>
      </text>
    </comment>
    <comment ref="R17" authorId="22" shapeId="0" xr:uid="{7936EB7A-CFEC-4AC1-A59E-C255DB3C3B3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In lab-confirmed cases only</t>
        </r>
      </text>
    </comment>
    <comment ref="G18" authorId="23" shapeId="0" xr:uid="{D117A162-3813-49D6-8FAB-C99DC923D75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Meta-analysis of prevalence - gives prevalence in HCW - see Description of study</t>
        </r>
      </text>
    </comment>
    <comment ref="F19" authorId="24" shapeId="0" xr:uid="{30C76E82-D2E3-402B-A84D-AEA822981A8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Tables and figures mentioned in text are not in the full text or on the journal website</t>
        </r>
      </text>
    </comment>
    <comment ref="G22" authorId="25" shapeId="0" xr:uid="{C119BA3E-D9F6-4BA0-AC7E-8838E8C0949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Same outbreak as Njuguna 2022 #379. This report is clearer on the number of deaths and who died.</t>
        </r>
      </text>
    </comment>
    <comment ref="R22" authorId="26" shapeId="0" xr:uid="{F7094809-6C3D-44F5-ABCD-050CBB76E47E}">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Abstract and summary says 2 deaths but in figure 1 it says case 1 died, in the text it says case 5 died and also that one of the doctors died in the Netherlands. Also later in paper says the CFR was 60%. Therefore 3 deaths. </t>
        </r>
      </text>
    </comment>
    <comment ref="G23" authorId="27" shapeId="0" xr:uid="{DD9B284D-60F9-409A-9B8B-7664A307D6A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Same outbreak as Njuguna 2022 #378</t>
        </r>
      </text>
    </comment>
    <comment ref="L23" authorId="28" shapeId="0" xr:uid="{BAC03B68-999B-46A3-B71B-DB4D270EE15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Possibly an additional 4 who were found by contact tracing and developed fever within the 21 day follow-up period. However no LASV antibodies were detected in their samples and they made a full recovery.</t>
        </r>
      </text>
    </comment>
    <comment ref="M23" authorId="29" shapeId="0" xr:uid="{47E041C3-9377-4A65-9963-984F0B48BC1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Possibly an additional 4 who were found by contact tracing and developed fever within the 21 day follow-up period. However no LASV antibodies were detected in their samples and they made a full recovery.</t>
        </r>
      </text>
    </comment>
    <comment ref="S23" authorId="30" shapeId="0" xr:uid="{01B4286A-3B3A-43C9-8DC2-F7806D8798E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Gives number of deaths overall but of the main 5 cases the only individual outcome given was for the index case who was not a HCW and who died.</t>
        </r>
      </text>
    </comment>
  </commentList>
</comments>
</file>

<file path=xl/sharedStrings.xml><?xml version="1.0" encoding="utf-8"?>
<sst xmlns="http://schemas.openxmlformats.org/spreadsheetml/2006/main" count="303" uniqueCount="200">
  <si>
    <t>URL</t>
  </si>
  <si>
    <t>Journal</t>
  </si>
  <si>
    <t>Article title</t>
  </si>
  <si>
    <t>Number</t>
  </si>
  <si>
    <t>Outbreak country</t>
  </si>
  <si>
    <t>Outbreak year</t>
  </si>
  <si>
    <t>First author</t>
  </si>
  <si>
    <t>Year of pub</t>
  </si>
  <si>
    <t>Outbreak setting (e.g. type of facility)</t>
  </si>
  <si>
    <t>Nosocomial outbreak report? (y/n)</t>
  </si>
  <si>
    <t># of cases (suspected / probable)</t>
  </si>
  <si>
    <t># of cases (total)</t>
  </si>
  <si>
    <t># of cases (confirmed)</t>
  </si>
  <si>
    <r>
      <t xml:space="preserve"># of </t>
    </r>
    <r>
      <rPr>
        <b/>
        <u/>
        <sz val="11"/>
        <color theme="1"/>
        <rFont val="Aptos Narrow"/>
        <family val="2"/>
        <scheme val="minor"/>
      </rPr>
      <t>HCW</t>
    </r>
    <r>
      <rPr>
        <b/>
        <sz val="11"/>
        <color theme="1"/>
        <rFont val="Aptos Narrow"/>
        <family val="2"/>
        <scheme val="minor"/>
      </rPr>
      <t xml:space="preserve"> cases (confirmed)</t>
    </r>
  </si>
  <si>
    <r>
      <t xml:space="preserve"># of </t>
    </r>
    <r>
      <rPr>
        <b/>
        <u/>
        <sz val="11"/>
        <color theme="1"/>
        <rFont val="Aptos Narrow"/>
        <family val="2"/>
        <scheme val="minor"/>
      </rPr>
      <t>HCW</t>
    </r>
    <r>
      <rPr>
        <b/>
        <sz val="11"/>
        <color theme="1"/>
        <rFont val="Aptos Narrow"/>
        <family val="2"/>
        <scheme val="minor"/>
      </rPr>
      <t xml:space="preserve"> cases (suspected / probable)</t>
    </r>
  </si>
  <si>
    <r>
      <t xml:space="preserve"># of </t>
    </r>
    <r>
      <rPr>
        <b/>
        <u/>
        <sz val="11"/>
        <color theme="1"/>
        <rFont val="Aptos Narrow"/>
        <family val="2"/>
        <scheme val="minor"/>
      </rPr>
      <t>HCW</t>
    </r>
    <r>
      <rPr>
        <b/>
        <sz val="11"/>
        <color theme="1"/>
        <rFont val="Aptos Narrow"/>
        <family val="2"/>
        <scheme val="minor"/>
      </rPr>
      <t xml:space="preserve"> cases (total)</t>
    </r>
  </si>
  <si>
    <r>
      <t xml:space="preserve"># of </t>
    </r>
    <r>
      <rPr>
        <b/>
        <u/>
        <sz val="11"/>
        <color theme="1"/>
        <rFont val="Aptos Narrow"/>
        <family val="2"/>
        <scheme val="minor"/>
      </rPr>
      <t>HCW</t>
    </r>
    <r>
      <rPr>
        <b/>
        <sz val="11"/>
        <color theme="1"/>
        <rFont val="Aptos Narrow"/>
        <family val="2"/>
        <scheme val="minor"/>
      </rPr>
      <t xml:space="preserve"> deaths</t>
    </r>
  </si>
  <si>
    <t># of deaths</t>
  </si>
  <si>
    <r>
      <rPr>
        <b/>
        <u/>
        <sz val="11"/>
        <color theme="1"/>
        <rFont val="Aptos Narrow"/>
        <family val="2"/>
        <scheme val="minor"/>
      </rPr>
      <t>HCW</t>
    </r>
    <r>
      <rPr>
        <b/>
        <sz val="11"/>
        <color theme="1"/>
        <rFont val="Aptos Narrow"/>
        <family val="2"/>
        <scheme val="minor"/>
      </rPr>
      <t xml:space="preserve"> cases split by symptom presentation / severity AND/OR by hospital-onset / community-onset (free text)</t>
    </r>
  </si>
  <si>
    <t>Nature of outbreak, if described, e.g. result from a superspreading event in a maternity ward (free text)</t>
  </si>
  <si>
    <t>https://dx.doi.org/10.1016/j.imbio.2021.152076</t>
  </si>
  <si>
    <t>Immunobiology</t>
  </si>
  <si>
    <t>Immunological screening of Lassa virus among health workers and contacts of patients of Lassa fever in Ondo State</t>
  </si>
  <si>
    <t>y</t>
  </si>
  <si>
    <t>Nigeria</t>
  </si>
  <si>
    <t>https://dx.doi.org/10.1016/s0035-9203(97)90247-9</t>
  </si>
  <si>
    <t>PLoS Negl Trop Dis</t>
  </si>
  <si>
    <t>After action review of the response to an outbreak of Lassa fever in Sierra Leone, 2019: Best practices and lessons learnt0</t>
  </si>
  <si>
    <t>Sierra Leone</t>
  </si>
  <si>
    <t>Nigerian Medical Journal</t>
  </si>
  <si>
    <t>An Epidemiological investigation of Lassa fever outbreak in Ebonyi State South Eastern Nigeria Lessons learnt (January to March 2018)</t>
  </si>
  <si>
    <t>https://dx.doi.org/10.1016/j.ijid.2019.03.030</t>
  </si>
  <si>
    <t>Int J Infect Dis</t>
  </si>
  <si>
    <t>A cluster of nosocomial Lassa fever cases in a tertiary health facility in Nigeria: Description and lessons learned, 2018</t>
  </si>
  <si>
    <t>https://dx.doi.org/10.1155/2017/8242313</t>
  </si>
  <si>
    <t>Case Reports in Infectious Diseases</t>
  </si>
  <si>
    <t>Emergence of Lassa fever disease in Northern Togo: Report of two cases in Oti District in 2016</t>
  </si>
  <si>
    <t>Togo</t>
  </si>
  <si>
    <t>https://dx.doi.org/10.1371/journal.pntd.0008589</t>
  </si>
  <si>
    <t>Systematic review and meta-analysis of the epidemiology of Lassa virus in humans, rodents and other mammals in sub-Saharan Africa</t>
  </si>
  <si>
    <t>https://dx.doi.org/10.1136/bmj.1.6073.1399</t>
  </si>
  <si>
    <t>Br Med J</t>
  </si>
  <si>
    <t>Lassa fever in Panguma Hospital, Sierra Leone, 1973-76</t>
  </si>
  <si>
    <t>1973-76</t>
  </si>
  <si>
    <t xml:space="preserve">2 died (1 suspected nursing aid and 1 confirmed nurse), 13 infected but recovered. Of the 13 who had antibody titres compatible with diagnosis of recent Lassa infection, 3 were clinically ill and the other 10 had no symptoms. Total 75 workers in the hospital and 50 of them had been in close contact with patients with Lassa or their specimens at some point during the 3 year study period. </t>
  </si>
  <si>
    <t>Panguma hospital</t>
  </si>
  <si>
    <t>Description of study</t>
  </si>
  <si>
    <t>No info on nature of outbreak particularly, just background info. Medical personnel only occasionally wore gowns, gloves and masks and visitors never did. Clinical examinations conducted daily. Lab tests carried out in main hospital lab with no special precautions taken. Several of infected patients came from same households. No catering in the hospital so relatives visit patients twice a day to bring food. Lack of barrier nursing precautions for relatives/visitors</t>
  </si>
  <si>
    <t>https://dx.doi.org/10.2807/1560-7917.Es.2019.24.20.1900272</t>
  </si>
  <si>
    <t>Euro Surveill</t>
  </si>
  <si>
    <t>Measures to control protracted large Lassa fever outbreak in Nigeria, 1 January to 28 April 2019</t>
  </si>
  <si>
    <t>1 Jan 2019 - 28 Apr 2019</t>
  </si>
  <si>
    <t>na</t>
  </si>
  <si>
    <t>surveillance data</t>
  </si>
  <si>
    <t>Description of increased cases of Lassa in Nigeria in 4 month period in 2019 and cases in Nigeria in corresponding time period in previous 2 years. Using surveillance data from NCDC.</t>
  </si>
  <si>
    <t>https://dx.doi.org/10.3389/fpubh.2018.00232</t>
  </si>
  <si>
    <t>Front Public Health</t>
  </si>
  <si>
    <t>Lassa fever 2016 outbreak in Plateau State, Nigeria - The changing epidemiology and clinical presentation</t>
  </si>
  <si>
    <t>Jos University teaching Hospital</t>
  </si>
  <si>
    <t>not given specifically for HCWs</t>
  </si>
  <si>
    <t>not specifically, HCW data incidental</t>
  </si>
  <si>
    <t>Retrospective study of 34 suspected LF cases presenting at a hospital Jan-August 2016, Jos, Nigeria. Confirmation of diagnosis by RT-PCR. 11 confirmed, rest negative RT-PCR. HCW: 2 confirmed RT-PCR, 1 negative RT-PCR.</t>
  </si>
  <si>
    <t>https://dx.doi.org/10.1371/journal.pntd.0009169</t>
  </si>
  <si>
    <t>Early onset of neurological features differentiates two outbreaks of Lassa fever in Ebonyi state, Nigeria during 2017-2018</t>
  </si>
  <si>
    <t>Alex Ekwueme Federal University Teaching Hospital Abakaliki, Virology Centre, Ebonyi state</t>
  </si>
  <si>
    <t>Studied all patients admited to Virology Centre from Dec 2017- Dec 2018</t>
  </si>
  <si>
    <t xml:space="preserve">Community outbreaks observed in patients attending virology centre. </t>
  </si>
  <si>
    <t>https://regroup-production.s3.amazonaws.com/documents/ReviewReference/1283800030/bullwho00466-0211.pdf?response-content-type=application%2Fpdf&amp;X-Amz-Algorithm=AWS4-HMAC-SHA256&amp;X-Amz-Credential=AKIAYSFKCAWYQ4D5IUHG%2F20250310%2Fus-east-1%2Fs3%2Faws4_request&amp;X-Amz-Date=20250310T121521Z&amp;X-Amz-Expires=604800&amp;X-Amz-SignedHeaders=host&amp;X-Amz-Signature=2daadcc01791bd1914461f7804b9db554e0366475cf548366a1ce1a9ebc35ef3</t>
  </si>
  <si>
    <t>Bull World Health Organ</t>
  </si>
  <si>
    <t>use of the complement fixation (CF) test in Lassa fever surveillance. Evidence for persistent CF antibodies</t>
  </si>
  <si>
    <t>1971-74</t>
  </si>
  <si>
    <t>3 hospitals (Panguma Mission Hospital, Tongo Minesfield Hospital and Serabu mission Hospital)</t>
  </si>
  <si>
    <t>Survey to detect individuals with serum containing antibodies to Lassa - tests sera from contacts, patients and workers from 3 hospitals.</t>
  </si>
  <si>
    <t>not an outbreak. Serosurvey.</t>
  </si>
  <si>
    <t>https://dx.doi.org/10.1016/j.ijid.2013.05.015</t>
  </si>
  <si>
    <t>Containing a Lassa fever epidemic in a resource-limited setting: outbreak description and lessons learned from Abakaliki, Nigeria (January-March 2012)</t>
  </si>
  <si>
    <t>Federal Teaching Hospital, Abakaliki, Ebonyi State</t>
  </si>
  <si>
    <t>at least 1</t>
  </si>
  <si>
    <t>Nosocomial outbreak in 6 HCW who had performed surgery on an individual who had come to the hospital with undiagnosed LF. LF was confirmed after the patient died. Other cases community-acquired.</t>
  </si>
  <si>
    <t>Retrospective description of outbreak in Ebonyi State Nigeria 1 Jan to 25 March 2012. Analysed surveillance data, hospital records and outbreak response as well as clinical and socioeconomic data from suspected cases. Confirmation of cases by RT-PCR or epidemiologically.</t>
  </si>
  <si>
    <t xml:space="preserve">1 additional health care worker who was identified as a high risk contact of LF cases had confirmed LF but no symptoms so isn't included in the 20 cases. 6 nosocomial cases - presented with symptoms including high-grade fever, marked body weakness, sore throat and vomiting. Surviving health care workers at time of discharge no longer had fever but some had deterioration of renal and hepatic function. At least 1 died. </t>
  </si>
  <si>
    <t>https://regroup-production.s3.amazonaws.com/documents/ReviewReference/1283799947/Bowen-1975-Lassa%20fever%20in%20Onitsha%2C%20East%20Centra.pdf?response-content-type=application%2Fpdf&amp;X-Amz-Algorithm=AWS4-HMAC-SHA256&amp;X-Amz-Credential=AKIAYSFKCAWYQ4D5IUHG%2F20250310%2Fus-east-1%2Fs3%2Faws4_request&amp;X-Amz-Date=20250310T150733Z&amp;X-Amz-Expires=604800&amp;X-Amz-SignedHeaders=host&amp;X-Amz-Signature=7b0a50bdff5786996c6ba93ba67c16ce18459e80f021436d671cff8247e48783</t>
  </si>
  <si>
    <t>Lassa fever in Onitsha, East Central State, Nigeria in 1974</t>
  </si>
  <si>
    <t>Jan-Feb 1974</t>
  </si>
  <si>
    <t>hospital - St Charles Borromeo Hospital, Oitsha.</t>
  </si>
  <si>
    <t xml:space="preserve">Description of 3 cases outbreak of Lassa. 2 cases were doctors who cared for a Lassa patient. Serosurvey of 258 hospital staff and contacts of the 3 cases found no other individuals with antibodies. </t>
  </si>
  <si>
    <t xml:space="preserve">Not known how index case weas infected. 2 doctors treated index case (and one also treated the other) and became infected. 3 nurses who had attended 2 of the cases subsequently developed febrile illness but showed no antibodies or virus in sera. </t>
  </si>
  <si>
    <t>https://dx.doi.org/10.3201/eid1606.100080</t>
  </si>
  <si>
    <t>Emerg Infect Dis</t>
  </si>
  <si>
    <t>Lassa fever, Nigeria, 2005-2008</t>
  </si>
  <si>
    <t>2005-2008</t>
  </si>
  <si>
    <t>hospital and community. Ebonyi State, University Teaching Hospital, Abakaliki</t>
  </si>
  <si>
    <t>Description of 10 cases that occurred 2005-2008. Some nosocomial.</t>
  </si>
  <si>
    <t>https://dx.doi.org/10.1016/0035-9203(72)90271-4</t>
  </si>
  <si>
    <t>Trans R Soc Trop Med Hyg</t>
  </si>
  <si>
    <t>Lassa fever. Epidemiological aspects of the 1970 epidemic, Jos, Nigeria</t>
  </si>
  <si>
    <t>1 outbreak in 2005 index patient a nurse and three staff who had contact with him infected. Don't know where index patient was infected. 2008 - 2 doctors with LF admitted to hospital. 4 other cases in Abuja and Jos between Dec 2007-March 2008. no healthcare workers involved and no contact between cases.</t>
  </si>
  <si>
    <t>One of nurses (case-patient 4) was pregnant and had a spontaneous abortion and died day 9 of hospitalisation). In 2005 outbreak in hospital cases 2, 3 and 4 were nurses of patient 1. case 2 and 4 both died.</t>
  </si>
  <si>
    <t xml:space="preserve">Superspreading event on a ward - one patient was source of infection for 16 others - suggested that as there was severe pulmonary involvement in this patient and they were in a corner bed "across which a prevailing breeze blew to the rest of the ward" </t>
  </si>
  <si>
    <t>https://dx.doi.org/10.1136/bmj.311.7009.857</t>
  </si>
  <si>
    <t>BMJ</t>
  </si>
  <si>
    <t>Review of cases of nosocomial Lassa fever in Nigeria: the high price of poor medical practice</t>
  </si>
  <si>
    <t xml:space="preserve">clinic and hospital </t>
  </si>
  <si>
    <t>Outbreak in Clinic A - 17 presumed cases - syringes/drugs shared or reused between 12 of 14 patients involved. Hospital B outbreak - 6 of 9 patients died, including 3 of 5 infected medical staff. 4 cases came from an emergency operation - both surgeons, theatre nurse and student nurse. The surgeons both died.</t>
  </si>
  <si>
    <t>at least 3 in hospital B and at least 1 in clinic A</t>
  </si>
  <si>
    <t>Description of 2 outbreaks, one in a small clinic hospital of 16 beds, one in a larger hospital of 50 beds.</t>
  </si>
  <si>
    <t>https://dx.doi.org/10.4269/ajtmh.1973.22.773</t>
  </si>
  <si>
    <t>Am J Trop Med Hyg</t>
  </si>
  <si>
    <t>A hospital epidemic of Lassa fever in Zorzor, Liberia, March-April 1972</t>
  </si>
  <si>
    <t>Liberia</t>
  </si>
  <si>
    <t>Curren hospital</t>
  </si>
  <si>
    <t>Comparison of OB staff by whether they had lassa (7) or weren't ill (14). Those with lassa fever - mean working days exposed 13.4, those not ill 9.1. Number of staff by estimated exposure to index case. Lassa fever - heavy 4, moderate 3, slight 0, none 0. Not ill - heavy 0, moderate 0, slight 12, none 2.</t>
  </si>
  <si>
    <t xml:space="preserve">Description of an outbreak on an OB ward (2nd March - 6 April 1972). Cases confirmed by serology or virus isolation. After the outbreak (mid April) CF tests showed 2/17 workers on the OB ward had antibodies and none of the 47 workers on the other wards and none of the 22 family contacts had antibodies. Survey of Zigida village (home of index case) found 4 of 133 sera tested contained Lassa antibodies. </t>
  </si>
  <si>
    <t xml:space="preserve">Outbreak on an OB ward in a hospital. Index case admitted with threatened abortion. 3 secondary cases in patients on the same OB ward. 7 cases in "hospital staff members with duties on the OB ward". No info on their jobs/duties other than they had 'heavy' or 'moderate' exposure. Heavy = daily direct personal care such as measuring urine, changing maternity pads and linens, emptying emesis basin, moderate = similar but infrequently. </t>
  </si>
  <si>
    <t xml:space="preserve">Description of an outbreak in a 56 bed hospital in Jos, Nigeria (Evangel Hostpital). Large proportion of the cases were in-patients at the time of infection. 5 patients were hospital staff - includes 1 scrub nurse, 1 ‘hospital worker’, 2 ward cleaners and 1 not clear but may have been ‘autopsy accident’. 4 additional cases found on contact tracing. Not included in these numbers. </t>
  </si>
  <si>
    <t>Evangel hospital</t>
  </si>
  <si>
    <t>https://dx.doi.org/10.4269/ajtmh.1974.23.1131</t>
  </si>
  <si>
    <t>Fraser, DW</t>
  </si>
  <si>
    <t>Lassa fever in the Eastern Province of Sierra Leone, 1970-1972. I. Epidemiological studies</t>
  </si>
  <si>
    <t>1970-72</t>
  </si>
  <si>
    <t>2 hospitals - Panguma and Tongo Hospitals</t>
  </si>
  <si>
    <t xml:space="preserve">Panguma Hospital staff tested - 6/24 nurses, 1/3 lab techs and 5/27 other hospital workers were seropositive. 4 of the nurses had severe febrile illness requiring hospitalization and 3 are included in this study. Not clear why the other isn't.  No other seropostive staff were hospitalized for febrile illness. </t>
  </si>
  <si>
    <t>at least 3 (see column Q)</t>
  </si>
  <si>
    <t xml:space="preserve">Outbreak predominantly community driven and acquired outside the hospital. Only 6 patients with LF had known contact with another case in the month prior to onset. Of these 5 were hospital staff - 4 nurses and 1 lab tech. 5 cases in people who had visited the hospitals in the month before they became ill, 4 had attended outpatient clinics and 1 developed LF during hospitalization for a normal delivery at the Panguma Hospital. Elsewhere in the paper it says 50/63 cases had no direct or indirect association with other patients recently ill with LF. </t>
  </si>
  <si>
    <t>Study of an outbreak of Lassa in patients admitted to 2 hospital over 2 year period from Oct 1970 - Oct 1972. Also studied 4 hospitals outside the Panguma-Tongo area and tested serum specimens from hospital staff at all 4. Tested sera from all Panguma hospital employees (as well as 25 residents of Panguma who had been admitted to wards of Panguma Hospital for conditions other than clinical LF). Tested using CF. NB of 63 suspected cases in the two hospitals only 10 were observed during the epidemic observation and 9 of these were confirmed by either serology or virus isolation as LF. Cases in which convalescent sera were available - 9 of 13 'probable' cases and 0 of 6 'possible' cases showed CF antibody to LF, 2 further 'probable' cases were proved by virus isolation.</t>
  </si>
  <si>
    <t>https://dx.doi.org/10.3201/eid2506.181035</t>
  </si>
  <si>
    <t>Epidemiologic and clinical features of Lassa fever outbreak in Nigeria, January 1-May 6, 2018</t>
  </si>
  <si>
    <t xml:space="preserve">Description of LF outbreak Jan-May 2018 in Nigeria from NCDC surveillance data including contact tracing. Suspected case - signs/symptoms and history of contact with excreta/urine of rodents or signs/symptoms and contact with probable/confirmed LF case within 21 days of onset., or inexplicable bleeding/hemorrhaging. Probable case - suspected case in patient who died prior to collection of specimen for testing. Confirmed - IgM, RT-PCR or virus isolation. </t>
  </si>
  <si>
    <t>Outbreak occurred in 20 states and the Federal Capital Territory. Most from 3 states with a dedicated LF treatment centre - Edo (178), Ondo (99) and Ebonyi (64). Contact tracing found 5012 people with 5001 followed up - 81 experience onset of symptoms in the 21 day follow up period and 28 foudn to have lab confirmed LF.</t>
  </si>
  <si>
    <t>Significantly high proportion of HCWs (19/34) reported contact with patients with known suspected or confirmed LF compared with non HCWs (p&lt;0.001).</t>
  </si>
  <si>
    <t>https://dx.doi.org/10.4269/ajtmh.1973.22.780</t>
  </si>
  <si>
    <t>Clinical presentation of Lassa fever cases during the hospital epidemic at Zorzor, Liberia, March-April 1972</t>
  </si>
  <si>
    <t>Outbreak in an OB ward from one ill OB patient - 7 staff members and 3 other OB patients infected.</t>
  </si>
  <si>
    <t xml:space="preserve">Description of clinical features of an outbreak on an OB ward in Curran Lutheran Hospital, Zorzor, Liberia. Same outbreak as reported by Monath 1973. 11 infections. 10 described in this paper as they were hospitalized at Zorzor. Other patient was treated elsewhere. Monath 1973 has more information than this paper which only looks at the symptoms and clinical presentation of 10 of the cases (not divided by HCW or not) and compares them with the outbreak in Jos (Carey 1972). </t>
  </si>
  <si>
    <t>https://dx.doi.org/10.1016/j.ijid.2022.02.020</t>
  </si>
  <si>
    <t>A challenging response to a Lassa fever outbreak in an non endemic area of Sierra Leone in 2019 with export of cases to The Netherlands</t>
  </si>
  <si>
    <t>Description of measures to control an outbeak  in a mission hospital in Tonkolili District, Sierra Leone. Including contact tracing and monitoring of healthcare workers and relatives and hosuehold contacts and community members.</t>
  </si>
  <si>
    <t xml:space="preserve">Probable index case was pregnant woman referred to Masanga Hospital who had caesarean section. Died immediately after surgery. Surgery conducted by 2 Dutch doctors and a local anesthetist. Both doctors then the anesthetist and then a woman who underwent surgery by the same team became ill. Contact tracing  found 4 additional suspected cases that developed fever during the 21 day monitoring period. However LASV antibodies were not detected in their samples and they made a full recovery. They are not included in the numbers listed here. </t>
  </si>
  <si>
    <t xml:space="preserve">2 doctors and an anesthetist who performed a caesarean section on the probable index case. </t>
  </si>
  <si>
    <t>https://dx.doi.org/10.60787/nmj-62-5-55</t>
  </si>
  <si>
    <t>https://dx.doi.org/10.1371/journal.pntd.0010755</t>
  </si>
  <si>
    <t>Also tested sera from 26 hospital staff who reported minor illness early in 1970 - no positive CF.</t>
  </si>
  <si>
    <t xml:space="preserve">A survey for antibodies to Lassa virus among health workers in Nigeria </t>
  </si>
  <si>
    <t>n. serosurvey</t>
  </si>
  <si>
    <t>Serosurvey of 102 HCW from facilities that attend to Lassa patients, 22 infected cases who had recovered and 109 contacts who were relatives of Lassa cases. Survey conducted March 2018-April 2019 in Ondo state, Nigeria. Included because gave proportion seropositive for each group: HCW 20/102, Infected cases 16/22 and Contacts 68/109, and I thought it might be useful.</t>
  </si>
  <si>
    <t>serosurvey</t>
  </si>
  <si>
    <t>secondary health centre - Lafia General Hospital</t>
  </si>
  <si>
    <t xml:space="preserve">Serosurvey of 552 HCW at 6 health facilities in Nigeria in Dec 1992-March 1993, however there was an ongoing outbreak at the time of the survey. The data here is for HCWs at Lafia General Hospital where the outbreak occurred. It was the only health facility to have HCW positive for IgM implying current infections - 6 HCW with IgM and 11 HCW seropositive overall. They also looked at prevalence of IgG antibodies by occupation for healthcare workers where occupation was specified (N positive/N tested): ward aid 7/38, doctor 2/58, nurse 4/130, cleaner 1/31, Lab staff 1/60, laundry staff 1/14, others 3/26. Overall seroprevalence of IgG in the study was 68/552. </t>
  </si>
  <si>
    <t xml:space="preserve">Of the 6 who had IgM when tested, 3 (2 ward aids and the nurse) had a Lassa-like illness at the time of sample collection. All 3 survived and 8 weeks later had IgG. </t>
  </si>
  <si>
    <t>March 2018-April 2019</t>
  </si>
  <si>
    <t>serosurvey of  HCW from facilities that look after Lassa patients, contacts who were relatives of Lassa cases and confirmed infected now recovered individuals.</t>
  </si>
  <si>
    <t>Masanga Mission Hospital, Tonkolili district</t>
  </si>
  <si>
    <t xml:space="preserve">Description of response to an outbreak of 5 LF cases - 2 probable cases were patients who had surgery carried out by 3 HCW who were confirmed as cases. 81 contacts were identified and followed-up - no secondary cases identified. </t>
  </si>
  <si>
    <t xml:space="preserve">Index case was a pregnant women who had a caesarian. 3 HCW who participated in the surgery (operating doctor, his assistant and the nurse anesthetist) developed LF. Fifth case was a female patient who was operated on by the same team on the same day as the primary case. 1st and 5th case died. The two doctors were evacuated to the Netherlands and one died. </t>
  </si>
  <si>
    <t xml:space="preserve">All HCW presumed infected from index patient during surgery and all developed signs/symptoms of LF. Doctors fell ill 6 and 7 days after operation, nurse anesthetist fell ill 12 days after operation. 2 doctors evacuated to the Netherlands. Nurse anesthetist remained Sierra Leone. </t>
  </si>
  <si>
    <t>rural missionary hospital - Masanga Mission Hospital</t>
  </si>
  <si>
    <t>Jan-March 2018</t>
  </si>
  <si>
    <t>16 (26.2% of confirmed cases)</t>
  </si>
  <si>
    <t>Patients studied were managed at the Virology centre Alex Ekwueme Federal University Teaching Hospital Abakaliki (AEFUTHA), but they came from all over Ebonyi state and it doesn't say where the 5 HCW who died were infected.</t>
  </si>
  <si>
    <t>at least 5 as 5 of the deaths were in HCW. Number not given but it says the majority of the patients were traders, healthcare workers and students and that the HCW infections were traceable to patients they had cared for.</t>
  </si>
  <si>
    <t>Observes that the HCW were "victims of nosocomial infections that were traceable to patients they cared for" but no numbers given.</t>
  </si>
  <si>
    <t xml:space="preserve">Description of outbreak in Ebonyi State Jan-Mar 2018. Cases and deaths idenfied through routine surveillance and specimens sent for confirmation by RT-PCR. 26.2% of confirmed cases (61) died. 5 deaths in HCW. Contact tracing 304 completed follow up and only 1 developed symptoms and had confirmed LF. 1 figure and 2 tables mentioned in text but they aren't in the pdf or online on the journal website. </t>
  </si>
  <si>
    <t xml:space="preserve">Outbreak epidemic curve (not seen) "suggests a continuous source pattern of transmission". 1 contact who developed LF and 5 HCW (who managed index case) were only cases where there was known human sources of the disease. </t>
  </si>
  <si>
    <t>Tertiary health facility</t>
  </si>
  <si>
    <t>Of the 15 confirmed HCW cases, 5 were asymptomatic. Of the 16 (confirmed and probable) HCW cases gives the number (and number dead) by category of HCW: Doctor 8 (2), Nurse 4 (1), Nursing student 1 (1), Medical student 1 (0), Medical laboratory student 1 (0), Orderly 1 (1). Most frequently reported symptoms were fever (90.9%), headache and fatigue (63.6%)</t>
  </si>
  <si>
    <t>Index case was 15 year old boy admitted to health facility. He was reviewed in 2 departments and then had surgery. LF was not considered or suspected and appropriate PPE not used, nor was his burial safe and none of the exposed HCW were offered post-exposure prophylaxis. 9 HCW were direct contacts of the index case, remaining 6 had no direct contact with index case. 5 HCW were asymptomatic and 4 of these 5 had had direct contact with the index case.</t>
  </si>
  <si>
    <t xml:space="preserve">Description of an outbreak among HCW in a tertiary health facility. 2018 by week 19 1914 suspected cases from 21 states in Nigeria - 481 were lab confirmed and 39 of the confirmed cases were HCWs. Of the 39 HCW cases 16 (41%) were from one tertiary health facility even though the state reported 65 (13%) of all confirmed cases nationally. This paper describes this outbreak of 16 HCW cases. </t>
  </si>
  <si>
    <t>private hospital</t>
  </si>
  <si>
    <t xml:space="preserve">Description of 2 cases of LF in a hospital in Togo. Second case took care of first. </t>
  </si>
  <si>
    <t>First case was a surgeon. Searched for where he was infected - the mother of a 7 month old child he had operated on was found to be IgG positive. Second case was a HCW who had cared for the surgeon. Contact tracing from these two cases found 110 contacts, none of whom developed symptoms.</t>
  </si>
  <si>
    <t xml:space="preserve">Both cases presented with fever. First case was diagnosed with LF postmortem and delay in diagnosis was probably fatal. Second case LF was suspected because of first case and he was treated with ribavirin and recovered. </t>
  </si>
  <si>
    <t>n. review</t>
  </si>
  <si>
    <t>y. serosurvey with an outbreak</t>
  </si>
  <si>
    <t>Review and meta-analysis of prevalence of LF and CFR. Prevalence given for HCW. Divided into three groups - data on current infections (ie antigen, RNA, virus positive), recent infections (ie IgM or IgM/IgG positive) or past infections (unspecified antibodies or IgG positive). Prevalence for each group: Past (17 studies, N=6355) 6.84% (95%CI 4.16-10.07), Recent (2 studies, N=564) - 0.02% (95%CI 0.00-0.69), Current (2 studies, N=28) - 11.15% (95%CI 0.00-55.04).</t>
  </si>
  <si>
    <t>Analysis of patients admitted to Panguma Hospital with diagnosis of Lassa fever Jan 1973-March 1976. Also 108 patients admitted with Lassa fever (11 confirmed serologically) to Nixon Memorial Hospital, Segbwema in 1975. Details of healthcare workers infections in Panguma Hospital only. Sera tested by CF.</t>
  </si>
  <si>
    <t>SSA</t>
  </si>
  <si>
    <t xml:space="preserve">surveillance data - only gives confirmed cases in HCW, no suspected/probable included. </t>
  </si>
  <si>
    <t xml:space="preserve">mainly community driven and patients predominantly from urban areas. </t>
  </si>
  <si>
    <t>see nature of outbreak</t>
  </si>
  <si>
    <t>see Nature of outbreak</t>
  </si>
  <si>
    <t>PRISMA diagram from Covidence showing the reasons for excluding full-text studies:</t>
  </si>
  <si>
    <t>Carey, D.E.</t>
  </si>
  <si>
    <t>Mertens, P.E.</t>
  </si>
  <si>
    <t>Monath, T.P.</t>
  </si>
  <si>
    <t>Bowen, G.S.</t>
  </si>
  <si>
    <t>Fabiyi, A.</t>
  </si>
  <si>
    <t>Keane, E.</t>
  </si>
  <si>
    <t>Fisher-Hoch, S.P.</t>
  </si>
  <si>
    <t>Bajani, M.D.</t>
  </si>
  <si>
    <t>Ehichioya, D.U.</t>
  </si>
  <si>
    <t>Ajayi, N.A.</t>
  </si>
  <si>
    <t>Shehu, N.Y.</t>
  </si>
  <si>
    <t>Dan-Nwafor, C.C.</t>
  </si>
  <si>
    <t>Ilori, E.A.</t>
  </si>
  <si>
    <t>Kenmoe, S.</t>
  </si>
  <si>
    <t>Agboeze, J.</t>
  </si>
  <si>
    <t>Shaibu, J.O.</t>
  </si>
  <si>
    <t>Njuguna, C.</t>
  </si>
  <si>
    <t>Chika-Igwenyi, N.M.</t>
  </si>
  <si>
    <t>Patassi, A.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</si>
</sst>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u/>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4" borderId="1" xfId="0" applyFont="1" applyFill="1" applyBorder="1" applyAlignment="1">
      <alignment wrapText="1"/>
    </xf>
    <xf numFmtId="0" fontId="0" fillId="0" borderId="0" xfId="0" applyAlignment="1">
      <alignment wrapText="1"/>
    </xf>
    <xf numFmtId="0" fontId="1" fillId="3" borderId="1" xfId="0" applyFont="1" applyFill="1" applyBorder="1" applyAlignment="1">
      <alignment wrapText="1"/>
    </xf>
    <xf numFmtId="0" fontId="1" fillId="2" borderId="1" xfId="0" applyFont="1" applyFill="1" applyBorder="1" applyAlignment="1">
      <alignment wrapText="1"/>
    </xf>
    <xf numFmtId="0" fontId="1" fillId="0" borderId="1" xfId="0" applyFont="1" applyBorder="1" applyAlignment="1">
      <alignment wrapText="1"/>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2</xdr:row>
      <xdr:rowOff>1</xdr:rowOff>
    </xdr:from>
    <xdr:to>
      <xdr:col>9</xdr:col>
      <xdr:colOff>406400</xdr:colOff>
      <xdr:row>25</xdr:row>
      <xdr:rowOff>31521</xdr:rowOff>
    </xdr:to>
    <xdr:pic>
      <xdr:nvPicPr>
        <xdr:cNvPr id="2" name="Picture 1">
          <a:extLst>
            <a:ext uri="{FF2B5EF4-FFF2-40B4-BE49-F238E27FC236}">
              <a16:creationId xmlns:a16="http://schemas.microsoft.com/office/drawing/2014/main" id="{4340881A-3AA2-3933-46D9-AB06A9A379F4}"/>
            </a:ext>
          </a:extLst>
        </xdr:cNvPr>
        <xdr:cNvPicPr>
          <a:picLocks noChangeAspect="1"/>
        </xdr:cNvPicPr>
      </xdr:nvPicPr>
      <xdr:blipFill>
        <a:blip xmlns:r="http://schemas.openxmlformats.org/officeDocument/2006/relationships" r:embed="rId1"/>
        <a:stretch>
          <a:fillRect/>
        </a:stretch>
      </xdr:blipFill>
      <xdr:spPr>
        <a:xfrm>
          <a:off x="609601" y="368301"/>
          <a:ext cx="5283199" cy="42669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Katherine Holohan" id="{5B39C305-DD93-4BBD-8A74-8344F8232351}" userId="0735b93212ee6324"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 dT="2025-03-12T14:42:41.48" personId="{5B39C305-DD93-4BBD-8A74-8344F8232351}" id="{8D9DB778-55CE-401D-9A52-5BB33C8ADC8E}">
    <text>If change to contains info on HCW infections, they would all be ‘y’</text>
  </threadedComment>
  <threadedComment ref="F2" dT="2025-03-13T10:46:17.45" personId="{5B39C305-DD93-4BBD-8A74-8344F8232351}" id="{30C76E82-D2E3-402B-A84D-AEA822981A8A}">
    <text>Tables and figures mentioned in text are not in the full text or on the journal website</text>
  </threadedComment>
  <threadedComment ref="M3" dT="2025-03-10T14:17:27.43" personId="{5B39C305-DD93-4BBD-8A74-8344F8232351}" id="{EB26D7E2-8E05-4266-9384-96EDB9E90A03}">
    <text>Of these 20, 10 had the occupation health care worker, but only 6 were nosocomial infections</text>
  </threadedComment>
  <threadedComment ref="O3" dT="2025-03-10T14:29:56.14" personId="{5B39C305-DD93-4BBD-8A74-8344F8232351}" id="{65605404-4C3D-4C68-AEEE-E9E1DC7B4318}">
    <text>“epidemiologically confirmed” - contact of a confirmed case, signs and symptoms consistent, lab results either unavailable or negative</text>
  </threadedComment>
  <threadedComment ref="S3" dT="2025-03-10T14:59:00.15" personId="{5B39C305-DD93-4BBD-8A74-8344F8232351}" id="{EEC620C2-36EF-4E24-8F98-3455737C80D3}">
    <text>“All the surviving health care workers requested discharge and transfer to the national center for LF management and care after 4-6 days of care… One of the transferred cases died at the referral center.”</text>
  </threadedComment>
  <threadedComment ref="N4" dT="2025-03-12T15:21:51.45" personId="{5B39C305-DD93-4BBD-8A74-8344F8232351}" id="{3624A1DD-1C1C-4521-8A6C-9B4A2D33C2DB}">
    <text>Lafia General hospital 55 HCW tested, 11 had antibody. 6 of whom had IgM - 5 ward aids and 1 nurse</text>
  </threadedComment>
  <threadedComment ref="P4" dT="2025-03-12T15:12:27.88" personId="{5B39C305-DD93-4BBD-8A74-8344F8232351}" id="{1DBAEE51-BBD6-4D20-92C9-4F05782F7C88}">
    <text>Lafia General hospital 55 HCW tested, 11 had antibody. 6 of whom had IgM - 5 ward aids and 1 nurse</text>
  </threadedComment>
  <threadedComment ref="L6" dT="2025-03-12T14:13:19.43" personId="{5B39C305-DD93-4BBD-8A74-8344F8232351}" id="{6700C420-91B7-460C-B1A1-AC31C13FDCCA}">
    <text>8 in hospital, 4 from contact tracing</text>
  </threadedComment>
  <threadedComment ref="M6" dT="2025-03-12T14:12:41.56" personId="{5B39C305-DD93-4BBD-8A74-8344F8232351}" id="{94169452-35C3-4B7E-AA17-E3CCD9C07789}">
    <text>24 in hospital, 4 from contact tracing</text>
  </threadedComment>
  <threadedComment ref="P6" dT="2025-03-11T14:59:50.98" personId="{5B39C305-DD93-4BBD-8A74-8344F8232351}" id="{FDD4166A-5638-4FFF-B016-16C4725A7904}">
    <text>Hospital staff - includes 1 scrub nurse, 1 ‘hospital worker’, 2 ward cleaners and 1 not clear but may have been ‘autopsy accident’</text>
  </threadedComment>
  <threadedComment ref="R6" dT="2025-03-12T14:14:14.32" personId="{5B39C305-DD93-4BBD-8A74-8344F8232351}" id="{7AF588FB-B7AA-4A8E-BD2A-236D6E2F6E2F}">
    <text>8 deaths in confirmed cases</text>
  </threadedComment>
  <threadedComment ref="U12" dT="2025-03-11T11:50:23.76" personId="{5B39C305-DD93-4BBD-8A74-8344F8232351}" id="{F0DAD7A5-E6E9-4071-A558-C9839ACD7A16}">
    <text xml:space="preserve">The paper is quite confusing and the numbers aren’t clear how they combine to give the totals in the abstract. </text>
  </threadedComment>
  <threadedComment ref="K13" dT="2025-03-11T20:45:17.09" personId="{5B39C305-DD93-4BBD-8A74-8344F8232351}" id="{ED8E1365-1D2A-48D9-9ADA-F2AB1D265AE1}">
    <text>9 of 10 observed during epidemic investigation confirmed serologically or by virus isolation. From convalescent sera (19) 9 found positive for CF antibody and 2 by virus isolation. Total = 20. This is not clearly stated by the paper so may not be reliable.</text>
  </threadedComment>
  <threadedComment ref="M13" dT="2025-03-11T20:49:42.67" personId="{5B39C305-DD93-4BBD-8A74-8344F8232351}" id="{0950EE12-8DA1-45A1-8E1B-4961010552E3}">
    <text>On basis of recorded signs and symptoms - 68% of these met the criteria for ‘probable’ LF.</text>
  </threadedComment>
  <threadedComment ref="P13" dT="2025-03-11T20:55:17.01" personId="{5B39C305-DD93-4BBD-8A74-8344F8232351}" id="{B83A2E41-AE5A-4137-8136-8E8C4B7C8C6D}">
    <text>4 nurses and 1 lab technician</text>
  </threadedComment>
  <threadedComment ref="M14" dT="2025-03-11T21:40:43.06" personId="{5B39C305-DD93-4BBD-8A74-8344F8232351}" id="{5A22DA05-2659-4866-8911-11DEC700E3A1}">
    <text xml:space="preserve">Includes 423 lab-confirmed cases and 10 probable cases (ie patient died before testing)
</text>
  </threadedComment>
  <threadedComment ref="P14" dT="2025-03-11T21:48:11.77" personId="{5B39C305-DD93-4BBD-8A74-8344F8232351}" id="{5AEB13C5-D2C8-46C6-BA3B-1B2F91849E82}">
    <text>It is implied that these are lab-confirmed but not clearly stated.</text>
  </threadedComment>
  <threadedComment ref="R14" dT="2025-03-11T21:42:35.60" personId="{5B39C305-DD93-4BBD-8A74-8344F8232351}" id="{7936EB7A-CFEC-4AC1-A59E-C255DB3C3B35}">
    <text>In lab-confirmed cases only</text>
  </threadedComment>
  <threadedComment ref="K15" dT="2025-03-13T14:57:58.88" personId="{5B39C305-DD93-4BBD-8A74-8344F8232351}" id="{8C4812C0-6CFA-4DB4-A315-9E4DD0B4ADF3}">
    <text>Antibodies by CF</text>
  </threadedComment>
  <threadedComment ref="G16" dT="2025-03-13T14:47:37.04" personId="{5B39C305-DD93-4BBD-8A74-8344F8232351}" id="{D117A162-3813-49D6-8FAB-C99DC923D754}">
    <text>Meta-analysis of prevalence - gives prevalence in HCW - see Description of study</text>
  </threadedComment>
  <threadedComment ref="G17" dT="2025-03-12T10:33:11.77" personId="{5B39C305-DD93-4BBD-8A74-8344F8232351}" id="{2D196DA6-3BEF-4C32-A242-BC96E3EE2F1D}">
    <text>Same outbreak as Monath 1973</text>
  </threadedComment>
  <threadedComment ref="G18" dT="2025-03-12T10:32:59.96" personId="{5B39C305-DD93-4BBD-8A74-8344F8232351}" id="{050D572B-FE91-40F7-A2DC-28EE05152C30}">
    <text>Same outbreak as Mertens 1973</text>
  </threadedComment>
  <threadedComment ref="G19" dT="2025-03-13T09:50:11.00" personId="{5B39C305-DD93-4BBD-8A74-8344F8232351}" id="{C119BA3E-D9F6-4BA0-AC7E-8838E8C0949A}">
    <text>Same outbreak as Njuguna 2022 #379. This report is clearer on the number of deaths and who died.</text>
  </threadedComment>
  <threadedComment ref="R19" dT="2025-03-13T10:14:38.33" personId="{5B39C305-DD93-4BBD-8A74-8344F8232351}" id="{F7094809-6C3D-44F5-ABCD-050CBB76E47E}">
    <text xml:space="preserve">Abstract and summary says 2 deaths but in figure 1 it says case 1 died, in the text it says case 5 died and also that one of the doctors died in the Netherlands. Also later in paper says the CFR was 60%. Therefore 3 deaths. </text>
  </threadedComment>
  <threadedComment ref="G20" dT="2025-03-13T09:50:36.19" personId="{5B39C305-DD93-4BBD-8A74-8344F8232351}" id="{DD9B284D-60F9-409A-9B8B-7664A307D6A2}">
    <text>Same outbreak as Njuguna 2022 #378</text>
  </threadedComment>
  <threadedComment ref="L20" dT="2025-03-12T11:57:48.85" personId="{5B39C305-DD93-4BBD-8A74-8344F8232351}" id="{BAC03B68-999B-46A3-B71B-DB4D270EE153}">
    <text>Possibly an additional 4 who were found by contact tracing and developed fever within the 21 day follow-up period. However no LASV antibodies were detected in their samples and they made a full recovery.</text>
  </threadedComment>
  <threadedComment ref="M20" dT="2025-03-12T11:58:12.40" personId="{5B39C305-DD93-4BBD-8A74-8344F8232351}" id="{47E041C3-9377-4A65-9963-984F0B48BC10}">
    <text>Possibly an additional 4 who were found by contact tracing and developed fever within the 21 day follow-up period. However no LASV antibodies were detected in their samples and they made a full recovery.</text>
  </threadedComment>
  <threadedComment ref="S20" dT="2025-03-12T12:01:23.79" personId="{5B39C305-DD93-4BBD-8A74-8344F8232351}" id="{01B4286A-3B3A-43C9-8DC2-F7806D8798E9}">
    <text>Gives number of deaths overall but of the main 5 cases the only individual outcome given was for the index case who was not a HCW and who died.</text>
  </threadedComment>
  <threadedComment ref="N21" dT="2025-03-13T12:30:34.89" personId="{5B39C305-DD93-4BBD-8A74-8344F8232351}" id="{904E656C-419A-4F51-AB9E-02A857DD97D9}">
    <text>By RT-PCR</text>
  </threadedComment>
  <threadedComment ref="L23" dT="2025-03-11T10:54:39.69" personId="{5B39C305-DD93-4BBD-8A74-8344F8232351}" id="{8A876680-235C-46DD-AE51-4F09C4277C97}">
    <text>Negative RT-PCR</text>
  </threadedComment>
  <threadedComment ref="O23" dT="2025-03-11T10:54:53.37" personId="{5B39C305-DD93-4BBD-8A74-8344F8232351}" id="{6DB260ED-8C86-4C48-B0B4-DB30C0C4B13C}">
    <text>Negative RT-PCR</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dx.doi.org/10.1371/journal.pntd.0009169" TargetMode="External"/><Relationship Id="rId7" Type="http://schemas.microsoft.com/office/2017/10/relationships/threadedComment" Target="../threadedComments/threadedComment1.xml"/><Relationship Id="rId2" Type="http://schemas.openxmlformats.org/officeDocument/2006/relationships/hyperlink" Target="https://dx.doi.org/10.1371/journal.pntd.0010755" TargetMode="External"/><Relationship Id="rId1" Type="http://schemas.openxmlformats.org/officeDocument/2006/relationships/hyperlink" Target="https://dx.doi.org/10.1016/j.ijid.2022.02.020"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54660-6BBF-4D6F-92BE-3F3B9DA996A0}">
  <dimension ref="A1:U23"/>
  <sheetViews>
    <sheetView tabSelected="1" zoomScale="180" zoomScaleNormal="180" workbookViewId="0">
      <pane xSplit="4" ySplit="1" topLeftCell="E12" activePane="bottomRight" state="frozen"/>
      <selection pane="topRight" activeCell="E1" sqref="E1"/>
      <selection pane="bottomLeft" activeCell="A2" sqref="A2"/>
      <selection pane="bottomRight" activeCell="C14" sqref="C14"/>
    </sheetView>
  </sheetViews>
  <sheetFormatPr defaultRowHeight="14.5" x14ac:dyDescent="0.35"/>
  <cols>
    <col min="2" max="2" width="12.7265625" customWidth="1"/>
    <col min="3" max="3" width="13.81640625" customWidth="1"/>
    <col min="4" max="4" width="10.54296875" customWidth="1"/>
    <col min="5" max="5" width="12.26953125" customWidth="1"/>
    <col min="6" max="6" width="12" customWidth="1"/>
    <col min="7" max="7" width="13" customWidth="1"/>
    <col min="8" max="8" width="10" customWidth="1"/>
    <col min="9" max="9" width="16.453125" customWidth="1"/>
    <col min="10" max="10" width="10.54296875" customWidth="1"/>
    <col min="11" max="11" width="13.26953125" customWidth="1"/>
    <col min="12" max="12" width="13.54296875" customWidth="1"/>
    <col min="13" max="13" width="11" customWidth="1"/>
    <col min="14" max="14" width="14.81640625" customWidth="1"/>
    <col min="15" max="15" width="15.26953125" customWidth="1"/>
    <col min="16" max="16" width="12.26953125" customWidth="1"/>
    <col min="17" max="17" width="44.6328125" style="2" customWidth="1"/>
    <col min="18" max="18" width="10.81640625" customWidth="1"/>
    <col min="19" max="19" width="10.26953125" customWidth="1"/>
    <col min="20" max="20" width="43" style="2" customWidth="1"/>
  </cols>
  <sheetData>
    <row r="1" spans="1:21" s="5" customFormat="1" ht="54" customHeight="1" x14ac:dyDescent="0.35">
      <c r="A1" s="3" t="s">
        <v>3</v>
      </c>
      <c r="B1" s="4" t="s">
        <v>0</v>
      </c>
      <c r="C1" s="4" t="s">
        <v>6</v>
      </c>
      <c r="D1" s="4" t="s">
        <v>7</v>
      </c>
      <c r="E1" s="4" t="s">
        <v>1</v>
      </c>
      <c r="F1" s="4" t="s">
        <v>2</v>
      </c>
      <c r="G1" s="1" t="s">
        <v>9</v>
      </c>
      <c r="H1" s="1" t="s">
        <v>4</v>
      </c>
      <c r="I1" s="1" t="s">
        <v>8</v>
      </c>
      <c r="J1" s="1" t="s">
        <v>5</v>
      </c>
      <c r="K1" s="1" t="s">
        <v>12</v>
      </c>
      <c r="L1" s="1" t="s">
        <v>10</v>
      </c>
      <c r="M1" s="1" t="s">
        <v>11</v>
      </c>
      <c r="N1" s="1" t="s">
        <v>13</v>
      </c>
      <c r="O1" s="1" t="s">
        <v>14</v>
      </c>
      <c r="P1" s="1" t="s">
        <v>15</v>
      </c>
      <c r="Q1" s="1" t="s">
        <v>18</v>
      </c>
      <c r="R1" s="1" t="s">
        <v>17</v>
      </c>
      <c r="S1" s="1" t="s">
        <v>16</v>
      </c>
      <c r="T1" s="1" t="s">
        <v>19</v>
      </c>
      <c r="U1" s="5" t="s">
        <v>46</v>
      </c>
    </row>
    <row r="2" spans="1:21" ht="72.5" x14ac:dyDescent="0.35">
      <c r="A2">
        <v>99</v>
      </c>
      <c r="B2" t="s">
        <v>93</v>
      </c>
      <c r="C2" t="s">
        <v>181</v>
      </c>
      <c r="D2">
        <v>1972</v>
      </c>
      <c r="E2" t="s">
        <v>94</v>
      </c>
      <c r="F2" t="s">
        <v>95</v>
      </c>
      <c r="G2" t="s">
        <v>23</v>
      </c>
      <c r="H2" t="s">
        <v>24</v>
      </c>
      <c r="I2" t="s">
        <v>115</v>
      </c>
      <c r="J2">
        <v>1970</v>
      </c>
      <c r="K2">
        <v>16</v>
      </c>
      <c r="L2">
        <v>12</v>
      </c>
      <c r="M2">
        <v>28</v>
      </c>
      <c r="N2" t="s">
        <v>52</v>
      </c>
      <c r="O2" t="s">
        <v>52</v>
      </c>
      <c r="P2">
        <v>5</v>
      </c>
      <c r="Q2" s="2" t="s">
        <v>141</v>
      </c>
      <c r="R2">
        <v>13</v>
      </c>
      <c r="S2">
        <v>3</v>
      </c>
      <c r="T2" s="2" t="s">
        <v>98</v>
      </c>
      <c r="U2" t="s">
        <v>114</v>
      </c>
    </row>
    <row r="3" spans="1:21" ht="43.5" x14ac:dyDescent="0.35">
      <c r="A3">
        <v>348</v>
      </c>
      <c r="B3" t="s">
        <v>130</v>
      </c>
      <c r="C3" t="s">
        <v>182</v>
      </c>
      <c r="D3">
        <v>1973</v>
      </c>
      <c r="E3" t="s">
        <v>107</v>
      </c>
      <c r="F3" t="s">
        <v>131</v>
      </c>
      <c r="G3" t="s">
        <v>23</v>
      </c>
      <c r="H3" t="s">
        <v>109</v>
      </c>
      <c r="I3" t="s">
        <v>110</v>
      </c>
      <c r="J3">
        <v>1972</v>
      </c>
      <c r="K3" t="s">
        <v>52</v>
      </c>
      <c r="L3" t="s">
        <v>52</v>
      </c>
      <c r="M3">
        <v>11</v>
      </c>
      <c r="N3" t="s">
        <v>52</v>
      </c>
      <c r="O3" t="s">
        <v>52</v>
      </c>
      <c r="P3">
        <v>7</v>
      </c>
      <c r="Q3" s="2" t="s">
        <v>52</v>
      </c>
      <c r="R3">
        <v>4</v>
      </c>
      <c r="S3" t="s">
        <v>52</v>
      </c>
      <c r="T3" s="2" t="s">
        <v>132</v>
      </c>
      <c r="U3" t="s">
        <v>133</v>
      </c>
    </row>
    <row r="4" spans="1:21" ht="174" x14ac:dyDescent="0.35">
      <c r="A4">
        <v>364</v>
      </c>
      <c r="B4" t="s">
        <v>106</v>
      </c>
      <c r="C4" t="s">
        <v>183</v>
      </c>
      <c r="D4">
        <v>1973</v>
      </c>
      <c r="E4" t="s">
        <v>107</v>
      </c>
      <c r="F4" t="s">
        <v>108</v>
      </c>
      <c r="G4" t="s">
        <v>23</v>
      </c>
      <c r="H4" t="s">
        <v>109</v>
      </c>
      <c r="I4" t="s">
        <v>110</v>
      </c>
      <c r="J4">
        <v>1972</v>
      </c>
      <c r="K4">
        <v>8</v>
      </c>
      <c r="L4">
        <v>3</v>
      </c>
      <c r="M4">
        <v>11</v>
      </c>
      <c r="N4">
        <v>5</v>
      </c>
      <c r="O4">
        <v>2</v>
      </c>
      <c r="P4">
        <v>7</v>
      </c>
      <c r="Q4" s="2" t="s">
        <v>111</v>
      </c>
      <c r="R4">
        <v>4</v>
      </c>
      <c r="S4">
        <v>2</v>
      </c>
      <c r="T4" s="2" t="s">
        <v>113</v>
      </c>
      <c r="U4" t="s">
        <v>112</v>
      </c>
    </row>
    <row r="5" spans="1:21" ht="217.5" x14ac:dyDescent="0.35">
      <c r="A5">
        <v>186</v>
      </c>
      <c r="B5" t="s">
        <v>116</v>
      </c>
      <c r="C5" t="s">
        <v>117</v>
      </c>
      <c r="D5">
        <v>1974</v>
      </c>
      <c r="E5" t="s">
        <v>107</v>
      </c>
      <c r="F5" t="s">
        <v>118</v>
      </c>
      <c r="G5" t="s">
        <v>60</v>
      </c>
      <c r="H5" t="s">
        <v>28</v>
      </c>
      <c r="I5" t="s">
        <v>120</v>
      </c>
      <c r="J5" t="s">
        <v>119</v>
      </c>
      <c r="K5">
        <v>20</v>
      </c>
      <c r="L5">
        <v>43</v>
      </c>
      <c r="M5">
        <v>63</v>
      </c>
      <c r="N5" t="s">
        <v>122</v>
      </c>
      <c r="O5" t="s">
        <v>52</v>
      </c>
      <c r="P5">
        <v>5</v>
      </c>
      <c r="Q5" s="2" t="s">
        <v>121</v>
      </c>
      <c r="R5">
        <v>24</v>
      </c>
      <c r="S5" t="s">
        <v>52</v>
      </c>
      <c r="T5" s="2" t="s">
        <v>123</v>
      </c>
      <c r="U5" t="s">
        <v>124</v>
      </c>
    </row>
    <row r="6" spans="1:21" ht="101.5" x14ac:dyDescent="0.35">
      <c r="A6">
        <v>86</v>
      </c>
      <c r="B6" t="s">
        <v>81</v>
      </c>
      <c r="C6" t="s">
        <v>184</v>
      </c>
      <c r="D6">
        <v>1975</v>
      </c>
      <c r="E6" t="s">
        <v>68</v>
      </c>
      <c r="F6" t="s">
        <v>82</v>
      </c>
      <c r="G6" t="s">
        <v>23</v>
      </c>
      <c r="H6" t="s">
        <v>24</v>
      </c>
      <c r="I6" t="s">
        <v>84</v>
      </c>
      <c r="J6" t="s">
        <v>83</v>
      </c>
      <c r="K6">
        <v>3</v>
      </c>
      <c r="L6">
        <v>0</v>
      </c>
      <c r="M6">
        <v>3</v>
      </c>
      <c r="N6">
        <v>2</v>
      </c>
      <c r="O6">
        <v>0</v>
      </c>
      <c r="P6">
        <v>2</v>
      </c>
      <c r="Q6" s="2" t="s">
        <v>179</v>
      </c>
      <c r="R6">
        <v>1</v>
      </c>
      <c r="S6">
        <v>1</v>
      </c>
      <c r="T6" s="2" t="s">
        <v>86</v>
      </c>
      <c r="U6" t="s">
        <v>85</v>
      </c>
    </row>
    <row r="7" spans="1:21" x14ac:dyDescent="0.35">
      <c r="A7">
        <v>169</v>
      </c>
      <c r="B7" t="s">
        <v>67</v>
      </c>
      <c r="C7" t="s">
        <v>185</v>
      </c>
      <c r="D7">
        <v>1975</v>
      </c>
      <c r="E7" t="s">
        <v>68</v>
      </c>
      <c r="F7" t="s">
        <v>69</v>
      </c>
      <c r="G7" t="s">
        <v>143</v>
      </c>
      <c r="H7" t="s">
        <v>28</v>
      </c>
      <c r="I7" t="s">
        <v>71</v>
      </c>
      <c r="J7" t="s">
        <v>70</v>
      </c>
      <c r="K7">
        <v>12</v>
      </c>
      <c r="L7" t="s">
        <v>52</v>
      </c>
      <c r="M7">
        <v>12</v>
      </c>
      <c r="N7">
        <v>1</v>
      </c>
      <c r="O7" t="s">
        <v>52</v>
      </c>
      <c r="P7">
        <v>1</v>
      </c>
      <c r="Q7" s="2" t="s">
        <v>52</v>
      </c>
      <c r="R7" t="s">
        <v>52</v>
      </c>
      <c r="S7" t="s">
        <v>52</v>
      </c>
      <c r="T7" s="2" t="s">
        <v>73</v>
      </c>
      <c r="U7" t="s">
        <v>72</v>
      </c>
    </row>
    <row r="8" spans="1:21" ht="188.5" x14ac:dyDescent="0.35">
      <c r="A8">
        <v>271</v>
      </c>
      <c r="B8" t="s">
        <v>40</v>
      </c>
      <c r="C8" t="s">
        <v>186</v>
      </c>
      <c r="D8">
        <v>1977</v>
      </c>
      <c r="E8" t="s">
        <v>41</v>
      </c>
      <c r="F8" t="s">
        <v>42</v>
      </c>
      <c r="G8" t="s">
        <v>23</v>
      </c>
      <c r="H8" t="s">
        <v>28</v>
      </c>
      <c r="I8" t="s">
        <v>45</v>
      </c>
      <c r="J8" t="s">
        <v>43</v>
      </c>
      <c r="K8">
        <v>40</v>
      </c>
      <c r="L8">
        <v>116</v>
      </c>
      <c r="M8">
        <v>156</v>
      </c>
      <c r="N8">
        <v>14</v>
      </c>
      <c r="O8">
        <v>1</v>
      </c>
      <c r="P8">
        <v>15</v>
      </c>
      <c r="Q8" s="2" t="s">
        <v>44</v>
      </c>
      <c r="R8">
        <v>28</v>
      </c>
      <c r="S8">
        <v>2</v>
      </c>
      <c r="T8" s="2" t="s">
        <v>47</v>
      </c>
      <c r="U8" t="s">
        <v>174</v>
      </c>
    </row>
    <row r="9" spans="1:21" ht="130.5" x14ac:dyDescent="0.35">
      <c r="A9">
        <v>184</v>
      </c>
      <c r="B9" t="s">
        <v>99</v>
      </c>
      <c r="C9" t="s">
        <v>187</v>
      </c>
      <c r="D9">
        <v>1995</v>
      </c>
      <c r="E9" t="s">
        <v>100</v>
      </c>
      <c r="F9" t="s">
        <v>101</v>
      </c>
      <c r="G9" t="s">
        <v>23</v>
      </c>
      <c r="H9" t="s">
        <v>24</v>
      </c>
      <c r="I9" t="s">
        <v>102</v>
      </c>
      <c r="J9">
        <v>1989</v>
      </c>
      <c r="K9">
        <v>11</v>
      </c>
      <c r="L9">
        <v>23</v>
      </c>
      <c r="M9">
        <v>34</v>
      </c>
      <c r="N9" t="s">
        <v>52</v>
      </c>
      <c r="O9" t="s">
        <v>52</v>
      </c>
      <c r="P9">
        <v>9</v>
      </c>
      <c r="Q9" s="2" t="s">
        <v>178</v>
      </c>
      <c r="R9">
        <v>22</v>
      </c>
      <c r="S9" t="s">
        <v>104</v>
      </c>
      <c r="T9" s="2" t="s">
        <v>103</v>
      </c>
      <c r="U9" t="s">
        <v>105</v>
      </c>
    </row>
    <row r="10" spans="1:21" ht="58" x14ac:dyDescent="0.35">
      <c r="A10">
        <v>50</v>
      </c>
      <c r="B10" t="s">
        <v>25</v>
      </c>
      <c r="C10" t="s">
        <v>188</v>
      </c>
      <c r="D10">
        <v>1997</v>
      </c>
      <c r="E10" t="s">
        <v>94</v>
      </c>
      <c r="F10" t="s">
        <v>142</v>
      </c>
      <c r="G10" t="s">
        <v>172</v>
      </c>
      <c r="H10" t="s">
        <v>24</v>
      </c>
      <c r="I10" t="s">
        <v>146</v>
      </c>
      <c r="J10">
        <v>1993</v>
      </c>
      <c r="K10" t="s">
        <v>52</v>
      </c>
      <c r="L10" t="s">
        <v>52</v>
      </c>
      <c r="M10" t="s">
        <v>52</v>
      </c>
      <c r="N10">
        <v>11</v>
      </c>
      <c r="O10" t="s">
        <v>52</v>
      </c>
      <c r="P10">
        <v>11</v>
      </c>
      <c r="Q10" s="2" t="s">
        <v>148</v>
      </c>
      <c r="R10" t="s">
        <v>52</v>
      </c>
      <c r="S10">
        <v>0</v>
      </c>
      <c r="T10" s="2" t="s">
        <v>52</v>
      </c>
      <c r="U10" t="s">
        <v>147</v>
      </c>
    </row>
    <row r="11" spans="1:21" ht="116" x14ac:dyDescent="0.35">
      <c r="A11">
        <v>153</v>
      </c>
      <c r="B11" t="s">
        <v>87</v>
      </c>
      <c r="C11" t="s">
        <v>189</v>
      </c>
      <c r="D11">
        <v>2010</v>
      </c>
      <c r="E11" t="s">
        <v>88</v>
      </c>
      <c r="F11" t="s">
        <v>89</v>
      </c>
      <c r="G11" t="s">
        <v>23</v>
      </c>
      <c r="H11" t="s">
        <v>24</v>
      </c>
      <c r="I11" t="s">
        <v>91</v>
      </c>
      <c r="J11" t="s">
        <v>90</v>
      </c>
      <c r="K11">
        <v>5</v>
      </c>
      <c r="L11">
        <v>5</v>
      </c>
      <c r="M11">
        <v>10</v>
      </c>
      <c r="N11">
        <v>5</v>
      </c>
      <c r="O11">
        <v>1</v>
      </c>
      <c r="P11">
        <v>6</v>
      </c>
      <c r="Q11" s="2" t="s">
        <v>97</v>
      </c>
      <c r="R11">
        <v>4</v>
      </c>
      <c r="S11">
        <v>4</v>
      </c>
      <c r="T11" s="2" t="s">
        <v>96</v>
      </c>
      <c r="U11" t="s">
        <v>92</v>
      </c>
    </row>
    <row r="12" spans="1:21" ht="130.5" x14ac:dyDescent="0.35">
      <c r="A12">
        <v>25</v>
      </c>
      <c r="B12" t="s">
        <v>74</v>
      </c>
      <c r="C12" t="s">
        <v>190</v>
      </c>
      <c r="D12">
        <v>2013</v>
      </c>
      <c r="E12" t="s">
        <v>32</v>
      </c>
      <c r="F12" t="s">
        <v>75</v>
      </c>
      <c r="G12" t="s">
        <v>23</v>
      </c>
      <c r="H12" t="s">
        <v>24</v>
      </c>
      <c r="I12" t="s">
        <v>76</v>
      </c>
      <c r="J12">
        <v>2012</v>
      </c>
      <c r="K12">
        <v>10</v>
      </c>
      <c r="L12">
        <v>10</v>
      </c>
      <c r="M12">
        <v>20</v>
      </c>
      <c r="N12">
        <v>5</v>
      </c>
      <c r="O12">
        <v>1</v>
      </c>
      <c r="P12">
        <v>6</v>
      </c>
      <c r="Q12" s="2" t="s">
        <v>80</v>
      </c>
      <c r="R12">
        <v>6</v>
      </c>
      <c r="S12" t="s">
        <v>77</v>
      </c>
      <c r="T12" s="2" t="s">
        <v>78</v>
      </c>
      <c r="U12" t="s">
        <v>79</v>
      </c>
    </row>
    <row r="13" spans="1:21" ht="116" x14ac:dyDescent="0.35">
      <c r="A13">
        <v>403</v>
      </c>
      <c r="B13" t="s">
        <v>34</v>
      </c>
      <c r="C13" t="s">
        <v>199</v>
      </c>
      <c r="D13">
        <v>2017</v>
      </c>
      <c r="E13" t="s">
        <v>35</v>
      </c>
      <c r="F13" t="s">
        <v>36</v>
      </c>
      <c r="G13" t="s">
        <v>23</v>
      </c>
      <c r="H13" t="s">
        <v>37</v>
      </c>
      <c r="I13" t="s">
        <v>167</v>
      </c>
      <c r="J13">
        <v>2016</v>
      </c>
      <c r="K13">
        <v>2</v>
      </c>
      <c r="L13">
        <v>0</v>
      </c>
      <c r="M13">
        <v>2</v>
      </c>
      <c r="N13">
        <v>2</v>
      </c>
      <c r="O13">
        <v>0</v>
      </c>
      <c r="P13">
        <v>2</v>
      </c>
      <c r="Q13" s="2" t="s">
        <v>170</v>
      </c>
      <c r="R13">
        <v>1</v>
      </c>
      <c r="S13">
        <v>1</v>
      </c>
      <c r="T13" s="2" t="s">
        <v>169</v>
      </c>
      <c r="U13" t="s">
        <v>168</v>
      </c>
    </row>
    <row r="14" spans="1:21" ht="29" x14ac:dyDescent="0.35">
      <c r="A14">
        <v>471</v>
      </c>
      <c r="B14" t="s">
        <v>55</v>
      </c>
      <c r="C14" t="s">
        <v>191</v>
      </c>
      <c r="D14">
        <v>2018</v>
      </c>
      <c r="E14" t="s">
        <v>56</v>
      </c>
      <c r="F14" t="s">
        <v>57</v>
      </c>
      <c r="G14" t="s">
        <v>60</v>
      </c>
      <c r="H14" t="s">
        <v>24</v>
      </c>
      <c r="I14" t="s">
        <v>58</v>
      </c>
      <c r="J14">
        <v>2016</v>
      </c>
      <c r="K14">
        <v>11</v>
      </c>
      <c r="L14">
        <v>23</v>
      </c>
      <c r="M14">
        <v>34</v>
      </c>
      <c r="N14">
        <v>2</v>
      </c>
      <c r="O14">
        <v>1</v>
      </c>
      <c r="P14">
        <v>3</v>
      </c>
      <c r="Q14" s="2" t="s">
        <v>59</v>
      </c>
      <c r="R14">
        <v>4</v>
      </c>
      <c r="S14" t="s">
        <v>52</v>
      </c>
      <c r="T14" s="2" t="s">
        <v>177</v>
      </c>
      <c r="U14" t="s">
        <v>61</v>
      </c>
    </row>
    <row r="15" spans="1:21" ht="145" x14ac:dyDescent="0.35">
      <c r="A15">
        <v>133</v>
      </c>
      <c r="B15" t="s">
        <v>31</v>
      </c>
      <c r="C15" t="s">
        <v>192</v>
      </c>
      <c r="D15">
        <v>2019</v>
      </c>
      <c r="E15" t="s">
        <v>32</v>
      </c>
      <c r="F15" t="s">
        <v>33</v>
      </c>
      <c r="G15" t="s">
        <v>23</v>
      </c>
      <c r="H15" t="s">
        <v>24</v>
      </c>
      <c r="I15" t="s">
        <v>163</v>
      </c>
      <c r="J15">
        <v>2018</v>
      </c>
      <c r="K15">
        <v>15</v>
      </c>
      <c r="L15">
        <v>2</v>
      </c>
      <c r="M15">
        <v>17</v>
      </c>
      <c r="N15">
        <v>15</v>
      </c>
      <c r="O15">
        <v>1</v>
      </c>
      <c r="P15">
        <v>16</v>
      </c>
      <c r="Q15" s="2" t="s">
        <v>164</v>
      </c>
      <c r="R15">
        <v>6</v>
      </c>
      <c r="S15">
        <v>5</v>
      </c>
      <c r="T15" s="2" t="s">
        <v>165</v>
      </c>
      <c r="U15" t="s">
        <v>166</v>
      </c>
    </row>
    <row r="16" spans="1:21" ht="43.5" x14ac:dyDescent="0.35">
      <c r="A16">
        <v>132</v>
      </c>
      <c r="B16" t="s">
        <v>48</v>
      </c>
      <c r="C16" t="s">
        <v>192</v>
      </c>
      <c r="D16">
        <v>2019</v>
      </c>
      <c r="E16" t="s">
        <v>49</v>
      </c>
      <c r="F16" t="s">
        <v>50</v>
      </c>
      <c r="G16" t="s">
        <v>60</v>
      </c>
      <c r="H16" t="s">
        <v>24</v>
      </c>
      <c r="I16" t="s">
        <v>53</v>
      </c>
      <c r="J16" t="s">
        <v>51</v>
      </c>
      <c r="K16">
        <v>554</v>
      </c>
      <c r="L16">
        <f>M16-K16</f>
        <v>1769</v>
      </c>
      <c r="M16">
        <v>2323</v>
      </c>
      <c r="N16">
        <v>18</v>
      </c>
      <c r="O16" t="s">
        <v>52</v>
      </c>
      <c r="P16" t="s">
        <v>52</v>
      </c>
      <c r="Q16" s="2" t="s">
        <v>52</v>
      </c>
      <c r="R16">
        <v>124</v>
      </c>
      <c r="S16" t="s">
        <v>52</v>
      </c>
      <c r="T16" s="2" t="s">
        <v>176</v>
      </c>
      <c r="U16" t="s">
        <v>54</v>
      </c>
    </row>
    <row r="17" spans="1:21" ht="101.5" x14ac:dyDescent="0.35">
      <c r="A17">
        <v>244</v>
      </c>
      <c r="B17" t="s">
        <v>125</v>
      </c>
      <c r="C17" t="s">
        <v>193</v>
      </c>
      <c r="D17">
        <v>2019</v>
      </c>
      <c r="E17" t="s">
        <v>88</v>
      </c>
      <c r="F17" t="s">
        <v>126</v>
      </c>
      <c r="G17" t="s">
        <v>60</v>
      </c>
      <c r="H17" t="s">
        <v>24</v>
      </c>
      <c r="I17" t="s">
        <v>53</v>
      </c>
      <c r="J17">
        <v>2018</v>
      </c>
      <c r="K17">
        <v>423</v>
      </c>
      <c r="L17">
        <f>M17-K17</f>
        <v>1470</v>
      </c>
      <c r="M17">
        <v>1893</v>
      </c>
      <c r="N17" t="s">
        <v>52</v>
      </c>
      <c r="O17" t="s">
        <v>52</v>
      </c>
      <c r="P17">
        <v>37</v>
      </c>
      <c r="Q17" s="2" t="s">
        <v>129</v>
      </c>
      <c r="R17">
        <v>106</v>
      </c>
      <c r="S17">
        <v>8</v>
      </c>
      <c r="T17" s="2" t="s">
        <v>128</v>
      </c>
      <c r="U17" t="s">
        <v>127</v>
      </c>
    </row>
    <row r="18" spans="1:21" x14ac:dyDescent="0.35">
      <c r="A18">
        <v>279</v>
      </c>
      <c r="B18" t="s">
        <v>38</v>
      </c>
      <c r="C18" t="s">
        <v>194</v>
      </c>
      <c r="D18">
        <v>2020</v>
      </c>
      <c r="E18" t="s">
        <v>26</v>
      </c>
      <c r="F18" t="s">
        <v>39</v>
      </c>
      <c r="G18" t="s">
        <v>171</v>
      </c>
      <c r="H18" t="s">
        <v>175</v>
      </c>
      <c r="I18" t="s">
        <v>52</v>
      </c>
      <c r="J18" t="s">
        <v>52</v>
      </c>
      <c r="K18" t="s">
        <v>52</v>
      </c>
      <c r="L18" t="s">
        <v>52</v>
      </c>
      <c r="M18" t="s">
        <v>52</v>
      </c>
      <c r="N18" t="s">
        <v>52</v>
      </c>
      <c r="O18" t="s">
        <v>52</v>
      </c>
      <c r="P18" t="s">
        <v>52</v>
      </c>
      <c r="Q18" s="2" t="s">
        <v>52</v>
      </c>
      <c r="R18" t="s">
        <v>52</v>
      </c>
      <c r="S18" t="s">
        <v>52</v>
      </c>
      <c r="T18" s="2" t="s">
        <v>52</v>
      </c>
      <c r="U18" t="s">
        <v>173</v>
      </c>
    </row>
    <row r="19" spans="1:21" ht="72.5" x14ac:dyDescent="0.35">
      <c r="A19">
        <v>22</v>
      </c>
      <c r="B19" t="s">
        <v>139</v>
      </c>
      <c r="C19" t="s">
        <v>195</v>
      </c>
      <c r="D19">
        <v>2021</v>
      </c>
      <c r="E19" t="s">
        <v>29</v>
      </c>
      <c r="F19" t="s">
        <v>30</v>
      </c>
      <c r="G19" t="s">
        <v>60</v>
      </c>
      <c r="H19" t="s">
        <v>24</v>
      </c>
      <c r="I19" t="s">
        <v>158</v>
      </c>
      <c r="J19" t="s">
        <v>156</v>
      </c>
      <c r="K19">
        <v>61</v>
      </c>
      <c r="L19">
        <f>89-61</f>
        <v>28</v>
      </c>
      <c r="M19">
        <v>89</v>
      </c>
      <c r="N19" t="s">
        <v>52</v>
      </c>
      <c r="O19" t="s">
        <v>52</v>
      </c>
      <c r="P19" t="s">
        <v>159</v>
      </c>
      <c r="Q19" s="2" t="s">
        <v>160</v>
      </c>
      <c r="R19" t="s">
        <v>157</v>
      </c>
      <c r="S19">
        <v>5</v>
      </c>
      <c r="T19" s="2" t="s">
        <v>162</v>
      </c>
      <c r="U19" t="s">
        <v>161</v>
      </c>
    </row>
    <row r="20" spans="1:21" ht="29" x14ac:dyDescent="0.35">
      <c r="A20">
        <v>114</v>
      </c>
      <c r="B20" s="6" t="s">
        <v>62</v>
      </c>
      <c r="C20" t="s">
        <v>198</v>
      </c>
      <c r="D20">
        <v>2021</v>
      </c>
      <c r="E20" t="s">
        <v>26</v>
      </c>
      <c r="F20" t="s">
        <v>63</v>
      </c>
      <c r="G20" t="s">
        <v>60</v>
      </c>
      <c r="H20" t="s">
        <v>24</v>
      </c>
      <c r="I20" t="s">
        <v>64</v>
      </c>
      <c r="J20">
        <v>2018</v>
      </c>
      <c r="K20">
        <v>70</v>
      </c>
      <c r="L20">
        <v>13</v>
      </c>
      <c r="M20">
        <v>83</v>
      </c>
      <c r="N20" t="s">
        <v>52</v>
      </c>
      <c r="O20" t="s">
        <v>52</v>
      </c>
      <c r="P20">
        <v>12</v>
      </c>
      <c r="Q20" s="2" t="s">
        <v>59</v>
      </c>
      <c r="R20">
        <v>32</v>
      </c>
      <c r="S20" t="s">
        <v>52</v>
      </c>
      <c r="T20" s="2" t="s">
        <v>66</v>
      </c>
      <c r="U20" t="s">
        <v>65</v>
      </c>
    </row>
    <row r="21" spans="1:21" x14ac:dyDescent="0.35">
      <c r="A21">
        <v>469</v>
      </c>
      <c r="B21" t="s">
        <v>20</v>
      </c>
      <c r="C21" t="s">
        <v>196</v>
      </c>
      <c r="D21">
        <v>2021</v>
      </c>
      <c r="E21" t="s">
        <v>21</v>
      </c>
      <c r="F21" t="s">
        <v>22</v>
      </c>
      <c r="G21" t="s">
        <v>143</v>
      </c>
      <c r="H21" t="s">
        <v>24</v>
      </c>
      <c r="I21" t="s">
        <v>150</v>
      </c>
      <c r="J21" t="s">
        <v>149</v>
      </c>
      <c r="K21" t="s">
        <v>52</v>
      </c>
      <c r="L21" t="s">
        <v>52</v>
      </c>
      <c r="M21" t="s">
        <v>52</v>
      </c>
      <c r="N21" t="s">
        <v>52</v>
      </c>
      <c r="O21" t="s">
        <v>52</v>
      </c>
      <c r="P21">
        <v>20</v>
      </c>
      <c r="Q21" s="2" t="s">
        <v>52</v>
      </c>
      <c r="R21" t="s">
        <v>52</v>
      </c>
      <c r="S21" t="s">
        <v>52</v>
      </c>
      <c r="T21" s="2" t="s">
        <v>145</v>
      </c>
      <c r="U21" t="s">
        <v>144</v>
      </c>
    </row>
    <row r="22" spans="1:21" ht="116" x14ac:dyDescent="0.35">
      <c r="A22">
        <v>378</v>
      </c>
      <c r="B22" s="6" t="s">
        <v>140</v>
      </c>
      <c r="C22" t="s">
        <v>197</v>
      </c>
      <c r="D22">
        <v>2022</v>
      </c>
      <c r="E22" t="s">
        <v>26</v>
      </c>
      <c r="F22" t="s">
        <v>27</v>
      </c>
      <c r="G22" t="s">
        <v>23</v>
      </c>
      <c r="H22" t="s">
        <v>28</v>
      </c>
      <c r="I22" t="s">
        <v>151</v>
      </c>
      <c r="J22">
        <v>2019</v>
      </c>
      <c r="K22">
        <v>3</v>
      </c>
      <c r="L22">
        <v>2</v>
      </c>
      <c r="M22">
        <v>5</v>
      </c>
      <c r="N22">
        <v>3</v>
      </c>
      <c r="O22">
        <v>0</v>
      </c>
      <c r="P22">
        <v>3</v>
      </c>
      <c r="Q22" s="2" t="s">
        <v>154</v>
      </c>
      <c r="R22">
        <v>3</v>
      </c>
      <c r="S22">
        <v>1</v>
      </c>
      <c r="T22" s="2" t="s">
        <v>153</v>
      </c>
      <c r="U22" t="s">
        <v>152</v>
      </c>
    </row>
    <row r="23" spans="1:21" ht="174" x14ac:dyDescent="0.35">
      <c r="A23">
        <v>379</v>
      </c>
      <c r="B23" s="6" t="s">
        <v>134</v>
      </c>
      <c r="C23" t="s">
        <v>197</v>
      </c>
      <c r="D23">
        <v>2022</v>
      </c>
      <c r="E23" t="s">
        <v>32</v>
      </c>
      <c r="F23" t="s">
        <v>135</v>
      </c>
      <c r="G23" t="s">
        <v>23</v>
      </c>
      <c r="H23" t="s">
        <v>28</v>
      </c>
      <c r="I23" t="s">
        <v>155</v>
      </c>
      <c r="J23">
        <v>2019</v>
      </c>
      <c r="K23">
        <v>3</v>
      </c>
      <c r="L23">
        <v>2</v>
      </c>
      <c r="M23">
        <v>5</v>
      </c>
      <c r="N23">
        <v>3</v>
      </c>
      <c r="O23">
        <v>0</v>
      </c>
      <c r="P23">
        <v>3</v>
      </c>
      <c r="Q23" s="2" t="s">
        <v>138</v>
      </c>
      <c r="R23">
        <v>3</v>
      </c>
      <c r="S23" t="s">
        <v>77</v>
      </c>
      <c r="T23" s="2" t="s">
        <v>137</v>
      </c>
      <c r="U23" t="s">
        <v>136</v>
      </c>
    </row>
  </sheetData>
  <autoFilter ref="A1:U23" xr:uid="{8F654660-6BBF-4D6F-92BE-3F3B9DA996A0}">
    <sortState xmlns:xlrd2="http://schemas.microsoft.com/office/spreadsheetml/2017/richdata2" ref="A2:U23">
      <sortCondition ref="D1:D23"/>
    </sortState>
  </autoFilter>
  <sortState xmlns:xlrd2="http://schemas.microsoft.com/office/spreadsheetml/2017/richdata2" ref="A2:U23">
    <sortCondition ref="C2:C23"/>
  </sortState>
  <hyperlinks>
    <hyperlink ref="B23" r:id="rId1" xr:uid="{1B31530E-D951-4B62-BEA8-48083D2DB79A}"/>
    <hyperlink ref="B22" r:id="rId2" xr:uid="{14E05009-9191-4021-9862-E20CAEC188A7}"/>
    <hyperlink ref="B20" r:id="rId3" xr:uid="{C2B6A50D-CCFC-492B-AC19-76E787F8DB8B}"/>
  </hyperlinks>
  <pageMargins left="0.7" right="0.7" top="0.75" bottom="0.75" header="0.3" footer="0.3"/>
  <pageSetup paperSize="9" orientation="portrait" horizontalDpi="4294967293" verticalDpi="0"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91BD-013D-4E86-973F-7657A008862C}">
  <dimension ref="A1"/>
  <sheetViews>
    <sheetView workbookViewId="0">
      <selection activeCell="K15" sqref="K15"/>
    </sheetView>
  </sheetViews>
  <sheetFormatPr defaultRowHeight="14.5" x14ac:dyDescent="0.35"/>
  <sheetData>
    <row r="1" spans="1:1" x14ac:dyDescent="0.35">
      <c r="A1" t="s">
        <v>180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Extraction Table</vt:lpstr>
      <vt:lpstr>PRISMA diagram</vt:lpstr>
    </vt:vector>
  </TitlesOfParts>
  <Company>Medical Sciences - Oxford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Smith</dc:creator>
  <cp:lastModifiedBy>David Smith</cp:lastModifiedBy>
  <dcterms:created xsi:type="dcterms:W3CDTF">2025-03-07T10:30:43Z</dcterms:created>
  <dcterms:modified xsi:type="dcterms:W3CDTF">2025-03-25T15:52:24Z</dcterms:modified>
</cp:coreProperties>
</file>