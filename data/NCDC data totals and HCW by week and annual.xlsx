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unioxfordnexus-my.sharepoint.com/personal/pubh0400_ox_ac_uk/Documents/Projects/lassa_vaccination_HCWs/hospital_model/"/>
    </mc:Choice>
  </mc:AlternateContent>
  <xr:revisionPtr revIDLastSave="1200" documentId="8_{4CC3DD5B-96F0-49CF-8888-36E4B42ACCA1}" xr6:coauthVersionLast="47" xr6:coauthVersionMax="47" xr10:uidLastSave="{0CD2D08F-58EA-4C80-82A4-10140AD23E45}"/>
  <bookViews>
    <workbookView xWindow="32085" yWindow="1875" windowWidth="16725" windowHeight="13485" xr2:uid="{09D3CB40-B952-463B-8E6C-65B618105B5F}"/>
  </bookViews>
  <sheets>
    <sheet name="All cases by year" sheetId="4" r:id="rId1"/>
    <sheet name="HCW by week"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3" i="1" s="1"/>
  <c r="E54" i="1" s="1"/>
  <c r="E55" i="1" s="1"/>
  <c r="E56" i="1"/>
  <c r="E57" i="1" s="1"/>
  <c r="E58" i="1" s="1"/>
  <c r="E59" i="1" s="1"/>
  <c r="E60" i="1" s="1"/>
  <c r="E61" i="1" s="1"/>
  <c r="E62" i="1" s="1"/>
  <c r="E63" i="1" s="1"/>
  <c r="E64" i="1" s="1"/>
  <c r="E65" i="1" s="1"/>
  <c r="E66" i="1" s="1"/>
  <c r="E67" i="1" s="1"/>
  <c r="E68" i="1" s="1"/>
  <c r="E69" i="1" s="1"/>
  <c r="E70" i="1" s="1"/>
  <c r="E71" i="1" s="1"/>
  <c r="E72" i="1" s="1"/>
  <c r="E73" i="1" s="1"/>
  <c r="E74" i="1" s="1"/>
  <c r="E75" i="1" s="1"/>
  <c r="E76" i="1" s="1"/>
  <c r="E77" i="1" s="1"/>
  <c r="E78" i="1" s="1"/>
  <c r="E79" i="1" s="1"/>
  <c r="E80" i="1" s="1"/>
  <c r="E81" i="1" s="1"/>
  <c r="E82" i="1" s="1"/>
  <c r="E83" i="1" s="1"/>
  <c r="E85" i="1" s="1"/>
  <c r="E369" i="1"/>
  <c r="E370" i="1" s="1"/>
  <c r="E371" i="1" s="1"/>
  <c r="E372" i="1" s="1"/>
  <c r="E373" i="1" s="1"/>
  <c r="E374" i="1" s="1"/>
  <c r="E375" i="1" s="1"/>
  <c r="E376" i="1" s="1"/>
  <c r="E108" i="1"/>
  <c r="E109" i="1" s="1"/>
  <c r="E110" i="1" s="1"/>
  <c r="E111" i="1" s="1"/>
  <c r="E112" i="1" s="1"/>
  <c r="E113" i="1" s="1"/>
  <c r="E86" i="1" l="1"/>
  <c r="E87" i="1" s="1"/>
  <c r="E88" i="1" s="1"/>
  <c r="E89" i="1" s="1"/>
  <c r="E90" i="1" s="1"/>
  <c r="E91" i="1" s="1"/>
  <c r="E92" i="1" s="1"/>
  <c r="E93" i="1" s="1"/>
  <c r="E94" i="1" s="1"/>
  <c r="E95" i="1" s="1"/>
  <c r="E96" i="1" s="1"/>
  <c r="E97" i="1" s="1"/>
  <c r="E98" i="1" s="1"/>
  <c r="E99" i="1" s="1"/>
  <c r="E100" i="1" s="1"/>
  <c r="E101" i="1" s="1"/>
  <c r="E102" i="1" s="1"/>
  <c r="E103" i="1" s="1"/>
  <c r="E104" i="1" s="1"/>
  <c r="E105" i="1" s="1"/>
  <c r="E106" i="1" s="1"/>
  <c r="E107" i="1" s="1"/>
  <c r="E114" i="1"/>
  <c r="E115" i="1" s="1"/>
  <c r="E116" i="1" s="1"/>
  <c r="E117" i="1" s="1"/>
  <c r="E119" i="1" s="1"/>
  <c r="E120" i="1" s="1"/>
  <c r="E121" i="1" s="1"/>
  <c r="E122" i="1" s="1"/>
  <c r="E123" i="1" s="1"/>
  <c r="E124" i="1" s="1"/>
  <c r="E125" i="1" s="1"/>
  <c r="E126" i="1" s="1"/>
  <c r="E127" i="1" s="1"/>
  <c r="E128" i="1" s="1"/>
  <c r="E129" i="1" s="1"/>
  <c r="E130" i="1" s="1"/>
  <c r="E131" i="1" s="1"/>
  <c r="E132" i="1" s="1"/>
  <c r="E133" i="1" s="1"/>
  <c r="E134" i="1" s="1"/>
  <c r="E135" i="1" s="1"/>
  <c r="E136" i="1" s="1"/>
  <c r="E137" i="1" s="1"/>
  <c r="E138" i="1" s="1"/>
  <c r="E139" i="1" s="1"/>
  <c r="E140" i="1" s="1"/>
  <c r="E141" i="1" s="1"/>
  <c r="E142" i="1" s="1"/>
  <c r="E143" i="1" s="1"/>
  <c r="E144" i="1" s="1"/>
  <c r="E145" i="1" s="1"/>
  <c r="E146" i="1" s="1"/>
  <c r="E147" i="1" s="1"/>
  <c r="E148" i="1" s="1"/>
  <c r="E149" i="1" s="1"/>
  <c r="E150" i="1" s="1"/>
  <c r="E151" i="1" s="1"/>
  <c r="E152" i="1" s="1"/>
  <c r="E153" i="1" s="1"/>
  <c r="E154" i="1" s="1"/>
  <c r="E155" i="1" s="1"/>
  <c r="E156" i="1" s="1"/>
  <c r="E157" i="1" s="1"/>
  <c r="E158" i="1" s="1"/>
  <c r="E159" i="1" s="1"/>
  <c r="E160" i="1"/>
  <c r="E161" i="1" s="1"/>
  <c r="E162" i="1" s="1"/>
  <c r="E163" i="1" s="1"/>
  <c r="E164" i="1" s="1"/>
  <c r="E165" i="1" s="1"/>
  <c r="E166" i="1" s="1"/>
  <c r="E167" i="1" s="1"/>
  <c r="E168" i="1" s="1"/>
  <c r="E169" i="1" s="1"/>
  <c r="E170" i="1" s="1"/>
  <c r="E171" i="1" s="1"/>
  <c r="E172" i="1" s="1"/>
  <c r="E173" i="1" s="1"/>
  <c r="E174" i="1" s="1"/>
  <c r="E175" i="1" s="1"/>
  <c r="E176" i="1" s="1"/>
  <c r="E177" i="1" s="1"/>
  <c r="E178" i="1" s="1"/>
  <c r="E179" i="1" s="1"/>
  <c r="E180" i="1" s="1"/>
  <c r="E181" i="1" s="1"/>
  <c r="E182" i="1" s="1"/>
  <c r="E183" i="1" s="1"/>
  <c r="E184" i="1" s="1"/>
  <c r="E185" i="1" s="1"/>
  <c r="E186" i="1" s="1"/>
  <c r="E187" i="1" s="1"/>
  <c r="E188" i="1" s="1"/>
  <c r="E189" i="1" s="1"/>
  <c r="E190" i="1" s="1"/>
  <c r="E191" i="1" s="1"/>
  <c r="E192" i="1" s="1"/>
  <c r="E193" i="1" s="1"/>
  <c r="E194" i="1" s="1"/>
  <c r="E195" i="1" s="1"/>
  <c r="E196" i="1" s="1"/>
  <c r="E197" i="1" s="1"/>
  <c r="E198" i="1" s="1"/>
  <c r="E199" i="1" s="1"/>
  <c r="E200" i="1" s="1"/>
  <c r="E201" i="1" s="1"/>
  <c r="E202" i="1" s="1"/>
  <c r="E203" i="1" s="1"/>
  <c r="E204" i="1" s="1"/>
  <c r="E205" i="1" s="1"/>
  <c r="E206" i="1" s="1"/>
  <c r="E207" i="1" s="1"/>
  <c r="E208" i="1" s="1"/>
  <c r="E209" i="1" s="1"/>
  <c r="E210" i="1" s="1"/>
  <c r="E211" i="1" s="1"/>
  <c r="E212" i="1"/>
  <c r="E213" i="1" s="1"/>
  <c r="E214" i="1" s="1"/>
  <c r="E215" i="1" s="1"/>
  <c r="E216" i="1" s="1"/>
  <c r="E217" i="1" s="1"/>
  <c r="E218" i="1" s="1"/>
  <c r="E219" i="1" s="1"/>
  <c r="E220" i="1" s="1"/>
  <c r="E221" i="1" s="1"/>
  <c r="E222" i="1" s="1"/>
  <c r="E223" i="1" s="1"/>
  <c r="E224" i="1" s="1"/>
  <c r="E225" i="1" s="1"/>
  <c r="E226" i="1" s="1"/>
  <c r="E227" i="1" s="1"/>
  <c r="E228" i="1" s="1"/>
  <c r="E229" i="1" s="1"/>
  <c r="E230" i="1" s="1"/>
  <c r="E231" i="1" s="1"/>
  <c r="E232" i="1" s="1"/>
  <c r="E233" i="1" s="1"/>
  <c r="E234" i="1" s="1"/>
  <c r="E235" i="1" s="1"/>
  <c r="E236" i="1" s="1"/>
  <c r="E237" i="1" s="1"/>
  <c r="E238" i="1" s="1"/>
  <c r="E239" i="1" s="1"/>
  <c r="E240" i="1" s="1"/>
  <c r="E241" i="1" s="1"/>
  <c r="E242" i="1" s="1"/>
  <c r="E243" i="1" s="1"/>
  <c r="E244" i="1" s="1"/>
  <c r="E245" i="1" s="1"/>
  <c r="E246" i="1" s="1"/>
  <c r="E247" i="1" s="1"/>
  <c r="E248" i="1" s="1"/>
  <c r="E249" i="1" s="1"/>
  <c r="E250" i="1" s="1"/>
  <c r="E251" i="1" s="1"/>
  <c r="E252" i="1" s="1"/>
  <c r="E253" i="1" s="1"/>
  <c r="E254" i="1" s="1"/>
  <c r="E255" i="1" s="1"/>
  <c r="E256" i="1" s="1"/>
  <c r="E257" i="1" s="1"/>
  <c r="E258" i="1" s="1"/>
  <c r="E259" i="1" s="1"/>
  <c r="E260" i="1" s="1"/>
  <c r="E261" i="1" s="1"/>
  <c r="E262" i="1" s="1"/>
  <c r="E263" i="1" s="1"/>
  <c r="E264" i="1"/>
  <c r="E265" i="1" s="1"/>
  <c r="E266" i="1" s="1"/>
  <c r="E316" i="1"/>
  <c r="E317" i="1" s="1"/>
  <c r="E318" i="1" s="1"/>
  <c r="E319" i="1" s="1"/>
  <c r="E320" i="1" s="1"/>
  <c r="E321" i="1" s="1"/>
  <c r="E322" i="1" s="1"/>
  <c r="E323" i="1" s="1"/>
  <c r="E324" i="1" s="1"/>
  <c r="E325" i="1" s="1"/>
  <c r="E326" i="1" s="1"/>
  <c r="E327" i="1" s="1"/>
  <c r="E328" i="1" s="1"/>
  <c r="E329" i="1" s="1"/>
  <c r="E330" i="1" s="1"/>
  <c r="E331" i="1" s="1"/>
  <c r="E332" i="1" s="1"/>
  <c r="E333" i="1" s="1"/>
  <c r="E334" i="1" s="1"/>
  <c r="E335" i="1" s="1"/>
  <c r="E336" i="1" s="1"/>
  <c r="E337" i="1" s="1"/>
  <c r="E338" i="1" s="1"/>
  <c r="E339" i="1" s="1"/>
  <c r="E340" i="1" s="1"/>
  <c r="E341" i="1" s="1"/>
  <c r="E342" i="1" s="1"/>
  <c r="E343" i="1" s="1"/>
  <c r="E344" i="1" s="1"/>
  <c r="E345" i="1" s="1"/>
  <c r="E346" i="1" s="1"/>
  <c r="E347" i="1" s="1"/>
  <c r="E348" i="1" s="1"/>
  <c r="E349" i="1" s="1"/>
  <c r="E350" i="1" s="1"/>
  <c r="E351" i="1" s="1"/>
  <c r="E352" i="1" s="1"/>
  <c r="E353" i="1" s="1"/>
  <c r="E354" i="1" s="1"/>
  <c r="E355" i="1" s="1"/>
  <c r="E356" i="1" s="1"/>
  <c r="E357" i="1" s="1"/>
  <c r="E358" i="1" s="1"/>
  <c r="E359" i="1" s="1"/>
  <c r="E360" i="1" s="1"/>
  <c r="E361" i="1" s="1"/>
  <c r="E362" i="1" s="1"/>
  <c r="E363" i="1" s="1"/>
  <c r="E364" i="1" s="1"/>
  <c r="E365" i="1" s="1"/>
  <c r="E366" i="1" s="1"/>
  <c r="E367" i="1" s="1"/>
  <c r="E267" i="1" l="1"/>
  <c r="E268" i="1" s="1"/>
  <c r="E269" i="1" s="1"/>
  <c r="E270" i="1" s="1"/>
  <c r="E271" i="1" s="1"/>
  <c r="E272" i="1" s="1"/>
  <c r="E273" i="1" s="1"/>
  <c r="E274" i="1" s="1"/>
  <c r="E275" i="1" s="1"/>
  <c r="E276" i="1" s="1"/>
  <c r="E277" i="1" s="1"/>
  <c r="E278" i="1" s="1"/>
  <c r="E279" i="1" s="1"/>
  <c r="E280" i="1" s="1"/>
  <c r="E281" i="1" s="1"/>
  <c r="E282" i="1" s="1"/>
  <c r="E283" i="1" s="1"/>
  <c r="E284" i="1" s="1"/>
  <c r="E285" i="1" s="1"/>
  <c r="E286" i="1" s="1"/>
  <c r="E287" i="1" s="1"/>
  <c r="E288" i="1" s="1"/>
  <c r="E289" i="1" s="1"/>
  <c r="E290" i="1" s="1"/>
  <c r="E291" i="1" s="1"/>
  <c r="E292" i="1" s="1"/>
  <c r="E293" i="1" s="1"/>
  <c r="E294" i="1" s="1"/>
  <c r="E295" i="1" s="1"/>
  <c r="E296" i="1" s="1"/>
  <c r="E297" i="1" s="1"/>
  <c r="E298" i="1" s="1"/>
  <c r="E299" i="1" s="1"/>
  <c r="E300" i="1" s="1"/>
  <c r="E301" i="1" s="1"/>
  <c r="E302" i="1" s="1"/>
  <c r="E303" i="1" s="1"/>
  <c r="E304" i="1" s="1"/>
  <c r="E305" i="1" s="1"/>
  <c r="E306" i="1" s="1"/>
  <c r="E307" i="1" s="1"/>
  <c r="E308" i="1" s="1"/>
  <c r="E309" i="1" s="1"/>
  <c r="E310" i="1" s="1"/>
  <c r="E311" i="1" s="1"/>
  <c r="E312" i="1" s="1"/>
  <c r="E313" i="1" s="1"/>
  <c r="E314" i="1" s="1"/>
  <c r="E3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tc={CC1C44D6-9065-4F0E-8555-6555C81242A0}</author>
    <author>tc={C2D62FB7-8379-46D5-B83C-5C25114A375F}</author>
    <author>tc={AE1B990C-BA8F-4C69-AD84-5B76A5EA2013}</author>
    <author>tc={A8F790E2-E475-41C9-A139-93C85E29BEBB}</author>
    <author>tc={F29A43F4-A220-48FB-AE91-9957B435CF67}</author>
  </authors>
  <commentList>
    <comment ref="A4" authorId="0" shapeId="0" xr:uid="{CC1C44D6-9065-4F0E-8555-6555C81242A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Data is since onset of outbreak in week 49 of 2016. No numbers of cases by state, only a graph. No info on HCW.</t>
        </r>
      </text>
    </comment>
    <comment ref="A9" authorId="1" shapeId="0" xr:uid="{C2D62FB7-8379-46D5-B83C-5C25114A375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Data on confirmed cases by state taken from a graph (with numbers) and HCW cases for states reported in text. No info on suspected, probable cases or numbers of deaths by state.</t>
        </r>
      </text>
    </comment>
    <comment ref="A14" authorId="2" shapeId="0" xr:uid="{AE1B990C-BA8F-4C69-AD84-5B76A5EA2013}">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Data on confirmed cases by state taken from a graph (with numbers) and HCW cases for states reported in text. No info on suspected, probable cases or numbers of deaths by state.
</t>
        </r>
      </text>
    </comment>
    <comment ref="F24" authorId="3" shapeId="0" xr:uid="{A8F790E2-E475-41C9-A139-93C85E29BEB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data recorded for Akwa Ibom but 1 suspected case reported for ‘Plateu’. This may have been misnamed or it is an additional case for Plateau.</t>
        </r>
      </text>
    </comment>
    <comment ref="AI24" authorId="4" shapeId="0" xr:uid="{F29A43F4-A220-48FB-AE91-9957B435CF67}">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addition to these reported cases for Plateau there was also a report for ‘Plateu’ - only 1 suspected case.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tc={2C69041C-D9CF-4994-A9DE-5A8F91FC2129}</author>
    <author>tc={18223D02-E3A0-4619-ACA7-36A8B1AF06AE}</author>
    <author>tc={B7EE7725-2194-4B02-A347-9D521CE7201D}</author>
    <author>tc={331525E3-4C17-49BE-9448-5AF9E6F133D9}</author>
    <author>tc={3F9876E3-11E7-46E5-978E-7D13F788EB76}</author>
    <author>tc={217C99DB-3215-4D4D-B435-D47C2ADBB783}</author>
    <author>tc={EC6024ED-0C0C-44AC-9031-BFDD7A5A8EEA}</author>
    <author>tc={B5FDC20E-764D-417C-A70D-73F864F2271E}</author>
    <author>tc={867D3B25-4694-4C5A-8362-81AE891BDF2D}</author>
    <author>tc={57FEC037-B095-4EAF-A062-B3547A2F943A}</author>
    <author>tc={716A939F-4743-42F7-8A4D-7A8D3565A20F}</author>
    <author>tc={99C95046-1AE6-4E24-8A0A-78A56BC9044D}</author>
    <author>tc={60ECBC8B-CC74-4543-9691-78B86A705B12}</author>
    <author>tc={31808F19-3B56-4BD1-9C86-B54B16BBB40D}</author>
    <author>tc={25975196-DEB5-47CD-8345-F09A1AB2565C}</author>
    <author>tc={9F29BED3-EB51-4FB1-9007-30B711A4B192}</author>
    <author>tc={108DE559-93C8-4962-8B60-9DC1D37FCE05}</author>
    <author>tc={5AF6EE7A-6DF5-4C34-8D8C-D18977D1294A}</author>
    <author>tc={AF3318C5-1BF5-4B49-B8F3-B527A92BB19B}</author>
    <author>tc={4AD4379B-2688-4125-B974-CC40D0D544AB}</author>
    <author>tc={FAFA7096-1EDF-478B-BC1D-27D0C07EDE36}</author>
    <author>tc={C0B730FE-B51D-47EB-8775-9BD56C4575AF}</author>
    <author>tc={0B10CBBF-5EB1-41BE-BA8B-8FE41634F7B3}</author>
    <author>tc={30FBE518-4C8A-405D-B1E8-89E23F356614}</author>
    <author>tc={8898602E-3557-4E5A-9B42-4FADB87BB4AC}</author>
    <author>tc={34D4DB8B-B67E-4F58-8E81-1F065FEA4F50}</author>
    <author>tc={91335192-A258-48F7-BEB6-0DE89F59C622}</author>
    <author>tc={325B3142-211A-4059-88AF-8558F61DFF4F}</author>
    <author>tc={CDEBCC5A-5022-40B2-BC41-319587924947}</author>
    <author>tc={364C3A4F-8654-4583-97C3-C75FD4AF4C34}</author>
    <author>tc={8B28C53D-877E-49F0-A6B5-F75D33AFE513}</author>
    <author>tc={3A01189F-0F68-45DE-9481-72B8C6D88B08}</author>
    <author>tc={3E1449A1-46B8-46E9-812B-31F94208FC39}</author>
    <author>tc={899AC380-E60B-4BD8-955A-B17236219775}</author>
    <author>tc={6CB55010-F9AB-41BE-B46D-7D1FB1F5B8A8}</author>
    <author>tc={9AC400F3-37F4-4A13-A8DB-F29C80B4ABF7}</author>
    <author>tc={2D3EDF6E-0913-45D1-96C7-3B1C7A77C8D9}</author>
    <author>tc={53ADECDF-4BE7-4E2A-A752-21CB9B8A1C27}</author>
    <author>tc={5F0F505D-797E-455A-BD6E-3EDE4B2A2127}</author>
    <author>tc={8F66B65B-9688-4EC5-807C-C79F45C62BF7}</author>
    <author>tc={844A3121-2EFD-4C9E-AF2A-DFB0560873F1}</author>
    <author>tc={15D28B7A-ADD1-4DAC-9DA1-D81D6BD9B6AA}</author>
    <author>tc={AF58527C-D4E0-45B2-92EB-C3492A6E99DE}</author>
    <author>tc={DF19575B-7E5A-4811-B842-7D5279B65AAA}</author>
    <author>tc={78E91C9F-7FB5-4AD8-A587-77A20ADA1F16}</author>
    <author>tc={6D4394E4-1E5E-41F0-9C1F-04BEE835D2C1}</author>
    <author>tc={E6F7F9DF-3A61-431F-B3A7-10A86C730972}</author>
    <author>tc={21BA134A-E797-41B7-91AA-97F381B17E3D}</author>
    <author>tc={06DFE0F3-5802-4662-9E93-F6AF952CE2EB}</author>
    <author>tc={E36FD647-BD61-43BF-81E4-D27B0C5CFAA7}</author>
    <author>tc={8BB7D199-F4EE-4E1B-8843-BD1021D1B0B8}</author>
    <author>tc={BF17FB9D-DE72-43C1-9B07-083D7AD9909D}</author>
    <author>tc={7D4E782D-E476-417A-8A00-B886EB1BB585}</author>
    <author>tc={2154E109-949C-4C8F-9654-712AE4A0DB69}</author>
    <author>tc={ADC47E36-3EA1-4EAC-9908-8084DD096F43}</author>
    <author>tc={E314FFEF-EB00-4171-A355-736EDCA58FC5}</author>
    <author>tc={8F97054B-BA8D-4629-B40D-BBA8D4AFE657}</author>
    <author>tc={9F5D8B76-3B97-4887-B36A-E4169F99BBBD}</author>
    <author>tc={235A2BD1-3370-4895-83B0-CDB1366C99DB}</author>
    <author>tc={78D6513A-B2D9-47B1-BB20-F18208A7EA14}</author>
    <author>tc={10A72523-020B-425A-B2D8-1F329B565D81}</author>
    <author>tc={4E43A601-CC4D-4612-B5E6-8905344C4734}</author>
    <author>tc={18EC4CEA-5309-4DB7-BA47-DD6085A8C4C4}</author>
    <author>tc={DD661C84-11D9-4CF2-BF65-B9D0D4ACE13D}</author>
    <author>tc={207914B5-AC40-400C-835F-922A0B8B923C}</author>
    <author>tc={FE94D857-DF93-4B0C-AE8B-8AFC64F56213}</author>
  </authors>
  <commentList>
    <comment ref="D11" authorId="0" shapeId="0" xr:uid="{2C69041C-D9CF-4994-A9DE-5A8F91FC212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14 reported an additional case in Ondo that occurred in February but wasn’t originally recognised as a HCW so adding it here.</t>
        </r>
      </text>
    </comment>
    <comment ref="AH11" authorId="1" shapeId="0" xr:uid="{18223D02-E3A0-4619-ACA7-36A8B1AF06A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14 reported an additional case from February so adding it here.</t>
        </r>
      </text>
    </comment>
    <comment ref="D12" authorId="2" shapeId="0" xr:uid="{B7EE7725-2194-4B02-A347-9D521CE7201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2 but Week 11 reports an additional HCW case in Kogi in Week 9 so adding it here.</t>
        </r>
      </text>
    </comment>
    <comment ref="AB12" authorId="3" shapeId="0" xr:uid="{331525E3-4C17-49BE-9448-5AF9E6F133D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11 reports an additional case that occurred in week 9 so adding it here.</t>
        </r>
      </text>
    </comment>
    <comment ref="D15" authorId="4" shapeId="0" xr:uid="{3F9876E3-11E7-46E5-978E-7D13F788EB7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13 reported 6 additional cases from Ebonyi</t>
        </r>
      </text>
    </comment>
    <comment ref="P15" authorId="5" shapeId="0" xr:uid="{217C99DB-3215-4D4D-B435-D47C2ADBB783}">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Originally 0 but Week 13 reported 6 additional cases </t>
        </r>
      </text>
    </comment>
    <comment ref="D18" authorId="6" shapeId="0" xr:uid="{EC6024ED-0C0C-44AC-9031-BFDD7A5A8EE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an additional 9 cases were reported in week 16 - 8 in Edo and 1 in Taraba. It doesn’t specify when though.</t>
        </r>
      </text>
    </comment>
    <comment ref="D25" authorId="7" shapeId="0" xr:uid="{B5FDC20E-764D-417C-A70D-73F864F2271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 additional cases overall this week but the case in Benue has gone and there is an additional case in Edo with no explanation. Changing in this week.</t>
        </r>
      </text>
    </comment>
    <comment ref="D53" authorId="8" shapeId="0" xr:uid="{867D3B25-4694-4C5A-8362-81AE891BDF2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Reports 1 additional HCW case but hasn’t included it in state totals so doesn’t say where and subsequent weeks also don’t say where it is.</t>
        </r>
      </text>
    </comment>
    <comment ref="E55" authorId="9" shapeId="0" xr:uid="{57FEC037-B095-4EAF-A062-B3547A2F943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If you add the state totals together there are 44 cases as one case was added in week 50 but not mentioned in any particular state.</t>
        </r>
      </text>
    </comment>
    <comment ref="A56" authorId="10" shapeId="0" xr:uid="{716A939F-4743-42F7-8A4D-7A8D3565A20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Data on ECW not in a table. Reported in text.</t>
        </r>
      </text>
    </comment>
    <comment ref="D58" authorId="11" shapeId="0" xr:uid="{99C95046-1AE6-4E24-8A0A-78A56BC9044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 but week 4 reports 2 additional cases in Ondo prior to week 4 so adding them here.</t>
        </r>
      </text>
    </comment>
    <comment ref="AH58" authorId="12" shapeId="0" xr:uid="{60ECBC8B-CC74-4543-9691-78B86A705B1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4 had 2 additional cases from Ondo so adding them here</t>
        </r>
      </text>
    </comment>
    <comment ref="Q59" authorId="13" shapeId="0" xr:uid="{31808F19-3B56-4BD1-9C86-B54B16BBB40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5 had 1 additional case in Edo so adding here</t>
        </r>
      </text>
    </comment>
    <comment ref="E84" authorId="14" shapeId="0" xr:uid="{25975196-DEB5-47CD-8345-F09A1AB2565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Week 29 report states that the total number of HCW cases was reduced by two because two duplicates were identified. There were some other differences - Edo has 6 rather than 8 cases, Ebonyi 1 rather than 2 and Delta has 1 rather than 0. I’ve shown the total for each state in the row above and changed the total for this week.</t>
        </r>
      </text>
    </comment>
    <comment ref="D90" authorId="15" shapeId="0" xr:uid="{9F29BED3-EB51-4FB1-9007-30B711A4B19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Report not available but Week 36 states that there is an additional case in Ebonyi so I’ve added it here.</t>
        </r>
      </text>
    </comment>
    <comment ref="P90" authorId="16" shapeId="0" xr:uid="{108DE559-93C8-4962-8B60-9DC1D37FCE0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Report not available but week 36 has an additional case in Ebonyi so I’ve added it here.</t>
        </r>
      </text>
    </comment>
    <comment ref="D91" authorId="17" shapeId="0" xr:uid="{5AF6EE7A-6DF5-4C34-8D8C-D18977D1294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Report says no new HCW but total of 19 infected and one additional case in Ebonyi mentioned. Have added to previous week.</t>
        </r>
      </text>
    </comment>
    <comment ref="A108" authorId="18" shapeId="0" xr:uid="{AF3318C5-1BF5-4B49-B8F3-B527A92BB19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Unlike in later years, table doesn’t include HCW by state so not always clear where the HCWs come from. Sometimes says in summary where new HCW cases occur but if any are added to the total from previous weeks they are just added to the total</t>
        </r>
      </text>
    </comment>
    <comment ref="D109" authorId="19" shapeId="0" xr:uid="{4AD4379B-2688-4125-B974-CC40D0D544A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Doesn’t say which state. Also doesn’t appear in cumulative data</t>
        </r>
      </text>
    </comment>
    <comment ref="D110" authorId="20" shapeId="0" xr:uid="{FAFA7096-1EDF-478B-BC1D-27D0C07EDE3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1 has been added to cumulative count in week 4 so adding one here. Doesn’t say which state.</t>
        </r>
      </text>
    </comment>
    <comment ref="D111" authorId="21" shapeId="0" xr:uid="{C0B730FE-B51D-47EB-8775-9BD56C4575A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5 but cumulative number had gone up to 10 in week 5 so adding 2 more. Doesn’t say which state they are in though.</t>
        </r>
      </text>
    </comment>
    <comment ref="D112" authorId="22" shapeId="0" xr:uid="{0B10CBBF-5EB1-41BE-BA8B-8FE41634F7B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 but cumulative in week 6 has gone up to 16 so adding 1 here. Not stated where the case occurred</t>
        </r>
      </text>
    </comment>
    <comment ref="D113" authorId="23" shapeId="0" xr:uid="{30FBE518-4C8A-405D-B1E8-89E23F35661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Says they are in Ondo, Delta and Kaduna but not how many in each. Have put 1 in each but don’t know where to put the 4th.
Reply:
    In week 7 an additional 4 cases have been added to the cumulative number so will add here.</t>
        </r>
      </text>
    </comment>
    <comment ref="A114" authorId="24" shapeId="0" xr:uid="{8898602E-3557-4E5A-9B42-4FADB87BB4A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Table has started showing which number of HCW by state</t>
        </r>
      </text>
    </comment>
    <comment ref="D114" authorId="25" shapeId="0" xr:uid="{34D4DB8B-B67E-4F58-8E81-1F065FEA4F5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2 but week 8 showed 2 more in cumulative both in Ebonyi</t>
        </r>
      </text>
    </comment>
    <comment ref="P114" authorId="26" shapeId="0" xr:uid="{91335192-A258-48F7-BEB6-0DE89F59C62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8 showed there were 2.</t>
        </r>
      </text>
    </comment>
    <comment ref="D117" authorId="27" shapeId="0" xr:uid="{325B3142-211A-4059-88AF-8558F61DFF4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2 but week 11 showed 1 more in cumulative. When looking at states there are some states that have increased and some have decreased. Added one here but there were so many changes in individual states I’ve put in a correction instead.</t>
        </r>
      </text>
    </comment>
    <comment ref="A118" authorId="28" shapeId="0" xr:uid="{CDEBCC5A-5022-40B2-BC41-31958792494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Need the correction to the cumulative numbers here because some of the states have gone down and some have gone up.</t>
        </r>
      </text>
    </comment>
    <comment ref="E118" authorId="29" shapeId="0" xr:uid="{364C3A4F-8654-4583-97C3-C75FD4AF4C3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I’ve written this in rather than using the cumulative because there are so many changes from the data in previous weeks</t>
        </r>
      </text>
    </comment>
    <comment ref="D121" authorId="30" shapeId="0" xr:uid="{8B28C53D-877E-49F0-A6B5-F75D33AFE51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3 additional cases added to cumulative total of week 15 - 1 in Benue and 2 in Ondo. Have added to this week</t>
        </r>
      </text>
    </comment>
    <comment ref="D130" authorId="31" shapeId="0" xr:uid="{3A01189F-0F68-45DE-9481-72B8C6D88B0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24 shows an additional case in Ondo so adding 1 here.</t>
        </r>
      </text>
    </comment>
    <comment ref="AH130" authorId="32" shapeId="0" xr:uid="{3E1449A1-46B8-46E9-812B-31F94208FC3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24 shows an additional case so adding 1 here.</t>
        </r>
      </text>
    </comment>
    <comment ref="D152" authorId="33" shapeId="0" xr:uid="{899AC380-E60B-4BD8-955A-B1723621977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cumulative total in week 46 is higher by 1 which is a result of 2 being added to Ondo and 1 being removed from Edo. I’ve done this correction by removing 1 case from the week 11 cumulative total for Edo as that was the last time anything was reported in Edo. This means the cumulative numbers between then and week 45 no longer match those in the reports.</t>
        </r>
      </text>
    </comment>
    <comment ref="D213" authorId="34" shapeId="0" xr:uid="{6CB55010-F9AB-41BE-B46D-7D1FB1F5B8A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3</t>
        </r>
      </text>
    </comment>
    <comment ref="Q213" authorId="35" shapeId="0" xr:uid="{9AC400F3-37F4-4A13-A8DB-F29C80B4ABF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3</t>
        </r>
      </text>
    </comment>
    <comment ref="D214" authorId="36" shapeId="0" xr:uid="{2D3EDF6E-0913-45D1-96C7-3B1C7A77C8D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L214" authorId="37" shapeId="0" xr:uid="{53ADECDF-4BE7-4E2A-A752-21CB9B8A1C2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15" authorId="38" shapeId="0" xr:uid="{5F0F505D-797E-455A-BD6E-3EDE4B2A212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J215" authorId="39" shapeId="0" xr:uid="{8F66B65B-9688-4EC5-807C-C79F45C62BF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L215" authorId="40" shapeId="0" xr:uid="{844A3121-2EFD-4C9E-AF2A-DFB0560873F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17" authorId="41" shapeId="0" xr:uid="{15D28B7A-ADD1-4DAC-9DA1-D81D6BD9B6A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7</t>
        </r>
      </text>
    </comment>
    <comment ref="P217" authorId="42" shapeId="0" xr:uid="{AF58527C-D4E0-45B2-92EB-C3492A6E99D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18" authorId="43" shapeId="0" xr:uid="{DF19575B-7E5A-4811-B842-7D5279B65AA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2</t>
        </r>
      </text>
    </comment>
    <comment ref="J218" authorId="44" shapeId="0" xr:uid="{78E91C9F-7FB5-4AD8-A587-77A20ADA1F1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t>
        </r>
      </text>
    </comment>
    <comment ref="D219" authorId="45" shapeId="0" xr:uid="{6D4394E4-1E5E-41F0-9C1F-04BEE835D2C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5</t>
        </r>
      </text>
    </comment>
    <comment ref="U219" authorId="46" shapeId="0" xr:uid="{E6F7F9DF-3A61-431F-B3A7-10A86C73097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22" authorId="47" shapeId="0" xr:uid="{21BA134A-E797-41B7-91AA-97F381B17E3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t>
        </r>
      </text>
    </comment>
    <comment ref="X222" authorId="48" shapeId="0" xr:uid="{06DFE0F3-5802-4662-9E93-F6AF952CE2E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AH222" authorId="49" shapeId="0" xr:uid="{E36FD647-BD61-43BF-81E4-D27B0C5CFAA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34" authorId="50" shapeId="0" xr:uid="{8BB7D199-F4EE-4E1B-8843-BD1021D1B0B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Not sure which week the one for Taraba belongs to so putting it here for now</t>
        </r>
      </text>
    </comment>
    <comment ref="D244" authorId="51" shapeId="0" xr:uid="{BF17FB9D-DE72-43C1-9B07-083D7AD9909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S244" authorId="52" shapeId="0" xr:uid="{7D4E782D-E476-417A-8A00-B886EB1BB58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62" authorId="53" shapeId="0" xr:uid="{2154E109-949C-4C8F-9654-712AE4A0DB6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t>
        </r>
      </text>
    </comment>
    <comment ref="J262" authorId="54" shapeId="0" xr:uid="{ADC47E36-3EA1-4EAC-9908-8084DD096F4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1</t>
        </r>
      </text>
    </comment>
    <comment ref="D277" authorId="55" shapeId="0" xr:uid="{E314FFEF-EB00-4171-A355-736EDCA58FC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J277" authorId="56" shapeId="0" xr:uid="{8F97054B-BA8D-4629-B40D-BBA8D4AFE657}">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Originally 0 </t>
        </r>
      </text>
    </comment>
    <comment ref="AE277" authorId="57" shapeId="0" xr:uid="{9F5D8B76-3B97-4887-B36A-E4169F99BBB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78" authorId="58" shapeId="0" xr:uid="{235A2BD1-3370-4895-83B0-CDB1366C99D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AN278" authorId="59" shapeId="0" xr:uid="{78D6513A-B2D9-47B1-BB20-F18208A7EA1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280" authorId="60" shapeId="0" xr:uid="{10A72523-020B-425A-B2D8-1F329B565D8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AN280" authorId="61" shapeId="0" xr:uid="{4E43A601-CC4D-4612-B5E6-8905344C473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t>
        </r>
      </text>
    </comment>
    <comment ref="D370" authorId="62" shapeId="0" xr:uid="{18EC4CEA-5309-4DB7-BA47-DD6085A8C4C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4 has an additional case in cumulative - in Taraba. So added 1 here.</t>
        </r>
      </text>
    </comment>
    <comment ref="AN370" authorId="63" shapeId="0" xr:uid="{DD661C84-11D9-4CF2-BF65-B9D0D4ACE13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4 cumulative had an additional case in Taraba so have added it here.</t>
        </r>
      </text>
    </comment>
    <comment ref="D371" authorId="64" shapeId="0" xr:uid="{207914B5-AC40-400C-835F-922A0B8B923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cumulative for week 5 has an additional 6 cases in Ondo so will add them here.</t>
        </r>
      </text>
    </comment>
    <comment ref="AH371" authorId="65" shapeId="0" xr:uid="{FE94D857-DF93-4B0C-AE8B-8AFC64F5621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Originally 0 but week 5 cumulative has an additional 6 cases in Ondo so have added them here.</t>
        </r>
      </text>
    </comment>
  </commentList>
</comments>
</file>

<file path=xl/sharedStrings.xml><?xml version="1.0" encoding="utf-8"?>
<sst xmlns="http://schemas.openxmlformats.org/spreadsheetml/2006/main" count="396" uniqueCount="304">
  <si>
    <t>NCDC data Lassa</t>
  </si>
  <si>
    <t>Year</t>
  </si>
  <si>
    <t>Date</t>
  </si>
  <si>
    <t>1-7 Jan</t>
  </si>
  <si>
    <t>Edo</t>
  </si>
  <si>
    <t>Ondo</t>
  </si>
  <si>
    <t>Bauchi</t>
  </si>
  <si>
    <t>Benue</t>
  </si>
  <si>
    <t>Taraba</t>
  </si>
  <si>
    <t>Plateau</t>
  </si>
  <si>
    <t>Imo</t>
  </si>
  <si>
    <t>Ebonyi</t>
  </si>
  <si>
    <t>Enugu</t>
  </si>
  <si>
    <t>Adamawa</t>
  </si>
  <si>
    <t>Nasarawa</t>
  </si>
  <si>
    <t>Gombe</t>
  </si>
  <si>
    <t>Kogi</t>
  </si>
  <si>
    <t>Fct</t>
  </si>
  <si>
    <t>Kaduna</t>
  </si>
  <si>
    <t xml:space="preserve">Cross River </t>
  </si>
  <si>
    <t>Rivers</t>
  </si>
  <si>
    <t>Delta</t>
  </si>
  <si>
    <t>Anambra</t>
  </si>
  <si>
    <t>Niger</t>
  </si>
  <si>
    <t>Jigawa</t>
  </si>
  <si>
    <t>Bayelsa</t>
  </si>
  <si>
    <t>Katsina</t>
  </si>
  <si>
    <t>Kano</t>
  </si>
  <si>
    <t>Oyo</t>
  </si>
  <si>
    <t>Lagos</t>
  </si>
  <si>
    <t>Ogun</t>
  </si>
  <si>
    <t>Yobe</t>
  </si>
  <si>
    <t>Sokoto</t>
  </si>
  <si>
    <t>Kebbi</t>
  </si>
  <si>
    <t>Zamfara</t>
  </si>
  <si>
    <t>Akwa Ibom</t>
  </si>
  <si>
    <t>Ekiti</t>
  </si>
  <si>
    <t>Kwara</t>
  </si>
  <si>
    <t>Borno</t>
  </si>
  <si>
    <t>Osun</t>
  </si>
  <si>
    <t>Abia</t>
  </si>
  <si>
    <t xml:space="preserve">HCW cases </t>
  </si>
  <si>
    <t>total</t>
  </si>
  <si>
    <t>23-29 Dec</t>
  </si>
  <si>
    <t>Epi Week</t>
  </si>
  <si>
    <t>8-14 Jan</t>
  </si>
  <si>
    <t>15-21 Jan</t>
  </si>
  <si>
    <t>22-28 Jan</t>
  </si>
  <si>
    <t>29 Jan - 4 Feb</t>
  </si>
  <si>
    <t>5-11 Feb</t>
  </si>
  <si>
    <t>12-18 Feb</t>
  </si>
  <si>
    <t>19-25 Feb</t>
  </si>
  <si>
    <t>26 Feb - 3 Mar</t>
  </si>
  <si>
    <t>4-10 Mar</t>
  </si>
  <si>
    <t>11-17 Mar</t>
  </si>
  <si>
    <t>18-24 Mar</t>
  </si>
  <si>
    <t>25-31 Mar</t>
  </si>
  <si>
    <t>1-7 Apr</t>
  </si>
  <si>
    <t>8-14 Apr</t>
  </si>
  <si>
    <t>22-28 Apr</t>
  </si>
  <si>
    <t>NA but 17 says previous week was 0</t>
  </si>
  <si>
    <t>Cumulativ</t>
  </si>
  <si>
    <t>19 Apr - 5 May</t>
  </si>
  <si>
    <t>6-12 May</t>
  </si>
  <si>
    <t>13-19 May</t>
  </si>
  <si>
    <t>20-26 May</t>
  </si>
  <si>
    <t>27 May - 2 Jun</t>
  </si>
  <si>
    <t>3-9 Jun</t>
  </si>
  <si>
    <t>10-16 Jun</t>
  </si>
  <si>
    <t>17-23 Jun</t>
  </si>
  <si>
    <t>24-30 Jun</t>
  </si>
  <si>
    <t>1-7 Jul</t>
  </si>
  <si>
    <t>8-14 Jul</t>
  </si>
  <si>
    <t>15-21 Jul</t>
  </si>
  <si>
    <t>22-28 Jul</t>
  </si>
  <si>
    <t>29 Jul - 4 Aug</t>
  </si>
  <si>
    <t>5-11 Aug</t>
  </si>
  <si>
    <t>12-18 Aug</t>
  </si>
  <si>
    <t>19-25 Aug</t>
  </si>
  <si>
    <t>26 Aug - 1 Sep</t>
  </si>
  <si>
    <t>2-8 Sep</t>
  </si>
  <si>
    <t>9-15 Sep</t>
  </si>
  <si>
    <t>16-22 Sep</t>
  </si>
  <si>
    <t>23-29 Sep</t>
  </si>
  <si>
    <t>9-15 Jan</t>
  </si>
  <si>
    <t>2-8 Jan</t>
  </si>
  <si>
    <t>16-22 Jan</t>
  </si>
  <si>
    <t>23-29 Jan</t>
  </si>
  <si>
    <t>30 Jan - 5 Feb</t>
  </si>
  <si>
    <t>6-12 Feb</t>
  </si>
  <si>
    <t>13-19 Feb</t>
  </si>
  <si>
    <t>20-26 Feb</t>
  </si>
  <si>
    <t>27 Feb - 5 Mar</t>
  </si>
  <si>
    <t>6-12 Mar</t>
  </si>
  <si>
    <t>13-19 Mar</t>
  </si>
  <si>
    <t>20-26 Mar</t>
  </si>
  <si>
    <t>29 Mar - 2 Apr</t>
  </si>
  <si>
    <t>3-9 Apr</t>
  </si>
  <si>
    <t>10-16 Apr</t>
  </si>
  <si>
    <t>17-23 Apr</t>
  </si>
  <si>
    <t>24-30 Apr</t>
  </si>
  <si>
    <t>1-7 May</t>
  </si>
  <si>
    <t>8-14 May</t>
  </si>
  <si>
    <t>15-21 May</t>
  </si>
  <si>
    <t>22-28 May</t>
  </si>
  <si>
    <t>29 May - 4 Jun</t>
  </si>
  <si>
    <t>5-11 Jun</t>
  </si>
  <si>
    <t>12-18 Jun</t>
  </si>
  <si>
    <t>19-25 Jun</t>
  </si>
  <si>
    <t>26 Jun - 2 Jul</t>
  </si>
  <si>
    <t>17-23 Jul</t>
  </si>
  <si>
    <t>24-30 Jul</t>
  </si>
  <si>
    <t>31 Jul - 6 Aug</t>
  </si>
  <si>
    <t>7-13 Aug</t>
  </si>
  <si>
    <t>14-20 Aug</t>
  </si>
  <si>
    <t>21-27 Aug</t>
  </si>
  <si>
    <t>28 Aug - 3Sep</t>
  </si>
  <si>
    <t>4-10 Sep</t>
  </si>
  <si>
    <t>11-17 Sep</t>
  </si>
  <si>
    <t>25 Sep - 1 Oct</t>
  </si>
  <si>
    <t>30 Oct - 5 Nov</t>
  </si>
  <si>
    <t>2-8 Oct</t>
  </si>
  <si>
    <t>9-15 Oct</t>
  </si>
  <si>
    <t>16-22 Oct</t>
  </si>
  <si>
    <t>23-29 Oct</t>
  </si>
  <si>
    <t>6-12 Nov</t>
  </si>
  <si>
    <t>13-19 Nov</t>
  </si>
  <si>
    <t>20-26 Nov</t>
  </si>
  <si>
    <t>27 Nov - 3 Dec</t>
  </si>
  <si>
    <t>11-17 Dec</t>
  </si>
  <si>
    <t>4-10 Dec</t>
  </si>
  <si>
    <t>18-24 Dec</t>
  </si>
  <si>
    <t>25-31 Dec</t>
  </si>
  <si>
    <t>3-9 Jan</t>
  </si>
  <si>
    <t>10-16 Jan</t>
  </si>
  <si>
    <t>17-23 Jan</t>
  </si>
  <si>
    <t>24-30 Jan</t>
  </si>
  <si>
    <t>31 Jan - 6 Feb</t>
  </si>
  <si>
    <t>7-13 Feb</t>
  </si>
  <si>
    <t>14-20 Feb</t>
  </si>
  <si>
    <t>21-27 Feb</t>
  </si>
  <si>
    <t>28 Feb - 6 Mar</t>
  </si>
  <si>
    <t>7-13 Mar</t>
  </si>
  <si>
    <t>14-20 Mar</t>
  </si>
  <si>
    <t>21-27 Mar</t>
  </si>
  <si>
    <t>28 Mar - 3 Apr</t>
  </si>
  <si>
    <t>4-10 Apr</t>
  </si>
  <si>
    <t>11-17 Apr</t>
  </si>
  <si>
    <t>18-24 Apr</t>
  </si>
  <si>
    <t>25 Apr - 1 May</t>
  </si>
  <si>
    <t>2-8 May</t>
  </si>
  <si>
    <t>13-19 Jun</t>
  </si>
  <si>
    <t>20-26 Jun</t>
  </si>
  <si>
    <t>27 Jun - 3 Jul</t>
  </si>
  <si>
    <t>4-10 Jul</t>
  </si>
  <si>
    <t>11-17 Jul</t>
  </si>
  <si>
    <t>18-24 Jul</t>
  </si>
  <si>
    <t>25-31 Jul</t>
  </si>
  <si>
    <t>1-7 Aug</t>
  </si>
  <si>
    <t>8-14 Aug</t>
  </si>
  <si>
    <t>15-21 Aug</t>
  </si>
  <si>
    <t>22-28 Aug</t>
  </si>
  <si>
    <t>29 Aug - 4 Sep</t>
  </si>
  <si>
    <t>5-11 Sep</t>
  </si>
  <si>
    <t>12-18 Sep</t>
  </si>
  <si>
    <t>19-25 Sep</t>
  </si>
  <si>
    <t>26 Sep - 2 Oct</t>
  </si>
  <si>
    <t>3-9 Oct</t>
  </si>
  <si>
    <t>10-16 Oct</t>
  </si>
  <si>
    <t>17-23 Oct</t>
  </si>
  <si>
    <t>24-30 Oct</t>
  </si>
  <si>
    <t>31 Oct - 6 Nov</t>
  </si>
  <si>
    <t>7-13 Oct</t>
  </si>
  <si>
    <t>14-20 Nov</t>
  </si>
  <si>
    <t>21-27 Nov</t>
  </si>
  <si>
    <t>28 Nov - 4 Dec</t>
  </si>
  <si>
    <t>5-11 Dec</t>
  </si>
  <si>
    <t>12-18 Dec</t>
  </si>
  <si>
    <t>19-25 Dec</t>
  </si>
  <si>
    <t>26 Dec - 1 Jan</t>
  </si>
  <si>
    <t>4-10 Jan</t>
  </si>
  <si>
    <t>11-17 Jan</t>
  </si>
  <si>
    <t>18-24 Jan</t>
  </si>
  <si>
    <t>25-31 Jan</t>
  </si>
  <si>
    <t>1-7 Feb</t>
  </si>
  <si>
    <t>8-14 Feb</t>
  </si>
  <si>
    <t>15-21 Feb</t>
  </si>
  <si>
    <t>22-28 Feb</t>
  </si>
  <si>
    <t>1-7 Mar</t>
  </si>
  <si>
    <t>8-14 Mar</t>
  </si>
  <si>
    <t>15-21 Mar</t>
  </si>
  <si>
    <t>22-28 Mar</t>
  </si>
  <si>
    <t>29 Mar - 4 Apr</t>
  </si>
  <si>
    <t>5-11 Apr</t>
  </si>
  <si>
    <t>12-18 Apr</t>
  </si>
  <si>
    <t>19-25 Apr</t>
  </si>
  <si>
    <t>26 Apr - 2 May</t>
  </si>
  <si>
    <t>3-9 May</t>
  </si>
  <si>
    <t>10-16 May</t>
  </si>
  <si>
    <t>17-23 May</t>
  </si>
  <si>
    <t>31 May - 6 Jun</t>
  </si>
  <si>
    <t>NA but week 22 says another case in Ondo</t>
  </si>
  <si>
    <t>NA</t>
  </si>
  <si>
    <t>21-27 Jun</t>
  </si>
  <si>
    <t>28 Jun - 4 Jul</t>
  </si>
  <si>
    <t>5-11 Jul</t>
  </si>
  <si>
    <t>12-18 Jul</t>
  </si>
  <si>
    <t>19-25 Jul</t>
  </si>
  <si>
    <t>2-8 Aug</t>
  </si>
  <si>
    <t>16-22 Aug</t>
  </si>
  <si>
    <t>23-29 Aug</t>
  </si>
  <si>
    <t>30 Aug - 5 Sep</t>
  </si>
  <si>
    <t>6-12 Sep</t>
  </si>
  <si>
    <t>13-19 Sep</t>
  </si>
  <si>
    <t>20-26 Sep</t>
  </si>
  <si>
    <t>27 Sep - 3 Oct</t>
  </si>
  <si>
    <t>4-10 Oct</t>
  </si>
  <si>
    <t>11-17 Oct</t>
  </si>
  <si>
    <t>18-24 Oct</t>
  </si>
  <si>
    <t>25-31 Oct</t>
  </si>
  <si>
    <t>1-7 Nov</t>
  </si>
  <si>
    <t>8-14 Nov</t>
  </si>
  <si>
    <t>15-21 Nov</t>
  </si>
  <si>
    <t>22-28 Nov</t>
  </si>
  <si>
    <t>29 Nov - 5 Dec</t>
  </si>
  <si>
    <t>6-12 Dec</t>
  </si>
  <si>
    <t>13-19 Dec</t>
  </si>
  <si>
    <t>20-26 Dec</t>
  </si>
  <si>
    <t>27 Dec - 2 Jan</t>
  </si>
  <si>
    <t>3-9 Jul</t>
  </si>
  <si>
    <t>10-16 Jul</t>
  </si>
  <si>
    <t>30 Sep - 6 Oct</t>
  </si>
  <si>
    <t>14-20 Oct</t>
  </si>
  <si>
    <t>21-27 Oct</t>
  </si>
  <si>
    <t>28 Oct - 3 Nov</t>
  </si>
  <si>
    <t>4-10 Nov</t>
  </si>
  <si>
    <t>11-17 Nov</t>
  </si>
  <si>
    <t>18-24 Nov</t>
  </si>
  <si>
    <t>25 Nov - 1 Dec</t>
  </si>
  <si>
    <t>2-8 Dec</t>
  </si>
  <si>
    <t>9-15 Dec</t>
  </si>
  <si>
    <t>16-22 Dec</t>
  </si>
  <si>
    <t>30 Dec - 5 Jan</t>
  </si>
  <si>
    <t>6-12 Jan</t>
  </si>
  <si>
    <t>13-19 Jan</t>
  </si>
  <si>
    <t>20-26 Jan</t>
  </si>
  <si>
    <t>27 Jan - 2 Feb</t>
  </si>
  <si>
    <t>3-9 Feb</t>
  </si>
  <si>
    <t>10-16 Feb</t>
  </si>
  <si>
    <t>17-23 Feb</t>
  </si>
  <si>
    <t>24 Feb - 1 Mar</t>
  </si>
  <si>
    <t>2-8 Mar</t>
  </si>
  <si>
    <t>9-15 Mar</t>
  </si>
  <si>
    <t>16-22 Mar</t>
  </si>
  <si>
    <t>23-29 Mar</t>
  </si>
  <si>
    <t>30 Mar - 5 Apr</t>
  </si>
  <si>
    <t>6-12 Apr</t>
  </si>
  <si>
    <t>13-19 Apr</t>
  </si>
  <si>
    <t>20-26 Apr</t>
  </si>
  <si>
    <t>26 Apr - 3 May</t>
  </si>
  <si>
    <t>4-10 May</t>
  </si>
  <si>
    <t>11-17 May</t>
  </si>
  <si>
    <t>18-24 May</t>
  </si>
  <si>
    <t>25-31 May</t>
  </si>
  <si>
    <t>1-7 Jun</t>
  </si>
  <si>
    <t>8-14 Jun</t>
  </si>
  <si>
    <t>15-21 Jun</t>
  </si>
  <si>
    <t>22-28 Jun</t>
  </si>
  <si>
    <t>29 Jun-5 Jul</t>
  </si>
  <si>
    <t>6-12 Jul</t>
  </si>
  <si>
    <t>13-19 Jul</t>
  </si>
  <si>
    <t>20-26 Jul</t>
  </si>
  <si>
    <t>27 Jul - 2 Aug</t>
  </si>
  <si>
    <t>3-9 Aug</t>
  </si>
  <si>
    <t>10-16 Aug</t>
  </si>
  <si>
    <t>17-23 Aug</t>
  </si>
  <si>
    <t>24-30 Aug</t>
  </si>
  <si>
    <t>31 Aug - 6 Sep</t>
  </si>
  <si>
    <t>7-13 Sep</t>
  </si>
  <si>
    <t>14-20 Sep</t>
  </si>
  <si>
    <t>21-27 Sep</t>
  </si>
  <si>
    <t>28 Sep - 4 Oct</t>
  </si>
  <si>
    <t>5-11 Oct</t>
  </si>
  <si>
    <t>12-18 Oct</t>
  </si>
  <si>
    <t>19-25 Oct</t>
  </si>
  <si>
    <t>26 Oct - 1 Nov</t>
  </si>
  <si>
    <t>2-8 Nov</t>
  </si>
  <si>
    <t>9-15 Nov</t>
  </si>
  <si>
    <t>16-22 Nov</t>
  </si>
  <si>
    <t>23-29 Nov</t>
  </si>
  <si>
    <t>30 Nov-6 Dec</t>
  </si>
  <si>
    <t>7-13 Dec</t>
  </si>
  <si>
    <t>14-20 Dec</t>
  </si>
  <si>
    <t>21-27 Dec</t>
  </si>
  <si>
    <t>suspected</t>
  </si>
  <si>
    <t>confirmed</t>
  </si>
  <si>
    <t>deaths</t>
  </si>
  <si>
    <t>HCW</t>
  </si>
  <si>
    <t>Total</t>
  </si>
  <si>
    <t>probable</t>
  </si>
  <si>
    <t>NB deaths in confirmed cases unless otherwise stated</t>
  </si>
  <si>
    <t>24 Feb - 2 Mar</t>
  </si>
  <si>
    <t>no info</t>
  </si>
  <si>
    <t>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</si>
</sst>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1" xfId="0" applyBorder="1"/>
    <xf numFmtId="17" fontId="0" fillId="0" borderId="0" xfId="0" applyNumberFormat="1"/>
    <xf numFmtId="0" fontId="0" fillId="0" borderId="0" xfId="0" applyFill="1"/>
    <xf numFmtId="0" fontId="0" fillId="2" borderId="0" xfId="0" applyFill="1"/>
    <xf numFmtId="0" fontId="0" fillId="2" borderId="1" xfId="0" applyFill="1" applyBorder="1"/>
    <xf numFmtId="0" fontId="1" fillId="0" borderId="0" xfId="0" applyFont="1"/>
    <xf numFmtId="0" fontId="1" fillId="0" borderId="1" xfId="0" applyFont="1" applyBorder="1"/>
    <xf numFmtId="0" fontId="1" fillId="0" borderId="2" xfId="0" applyFont="1" applyBorder="1"/>
    <xf numFmtId="0" fontId="0" fillId="0" borderId="3" xfId="0" applyBorder="1"/>
    <xf numFmtId="0" fontId="0" fillId="0" borderId="2" xfId="0" applyBorder="1"/>
    <xf numFmtId="0" fontId="0" fillId="0" borderId="4" xfId="0" applyBorder="1"/>
    <xf numFmtId="0" fontId="0" fillId="0" borderId="0" xfId="0" applyFill="1" applyBorder="1"/>
    <xf numFmtId="0" fontId="1" fillId="0" borderId="4" xfId="0" applyFont="1" applyBorder="1"/>
    <xf numFmtId="0" fontId="0" fillId="0" borderId="0" xfId="0" applyFont="1"/>
    <xf numFmtId="0" fontId="0" fillId="0" borderId="0" xfId="0" applyFont="1" applyBorder="1"/>
    <xf numFmtId="16" fontId="0" fillId="0" borderId="0" xfId="0" applyNumberFormat="1" applyFont="1" applyBorder="1"/>
    <xf numFmtId="0" fontId="0" fillId="0" borderId="0" xfId="0" applyFont="1" applyFill="1" applyBorder="1"/>
    <xf numFmtId="0" fontId="0" fillId="0" borderId="1" xfId="0" applyFill="1" applyBorder="1"/>
    <xf numFmtId="16" fontId="0" fillId="0" borderId="0" xfId="0" applyNumberFormat="1" applyFont="1"/>
    <xf numFmtId="0" fontId="0" fillId="0" borderId="1" xfId="0" applyFont="1" applyBorder="1"/>
    <xf numFmtId="16" fontId="0" fillId="0" borderId="1" xfId="0" applyNumberFormat="1" applyFont="1" applyBorder="1"/>
    <xf numFmtId="0" fontId="0"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atherine Holohan" id="{BCF94A0E-36A2-436C-8EA0-F97A1E69925F}" userId="0735b93212ee6324"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 dT="2025-03-14T13:30:57.46" personId="{BCF94A0E-36A2-436C-8EA0-F97A1E69925F}" id="{CC1C44D6-9065-4F0E-8555-6555C81242A0}">
    <text>Data is since onset of outbreak in week 49 of 2016. No numbers of cases by state, only a graph. No info on HCW.</text>
  </threadedComment>
  <threadedComment ref="A9" dT="2025-03-14T14:02:28.88" personId="{BCF94A0E-36A2-436C-8EA0-F97A1E69925F}" id="{C2D62FB7-8379-46D5-B83C-5C25114A375F}">
    <text>Data on confirmed cases by state taken from a graph (with numbers) and HCW cases for states reported in text. No info on suspected, probable cases or numbers of deaths by state.</text>
  </threadedComment>
  <threadedComment ref="A14" dT="2025-03-14T14:03:57.80" personId="{BCF94A0E-36A2-436C-8EA0-F97A1E69925F}" id="{AE1B990C-BA8F-4C69-AD84-5B76A5EA2013}">
    <text xml:space="preserve">Data on confirmed cases by state taken from a graph (with numbers) and HCW cases for states reported in text. No info on suspected, probable cases or numbers of deaths by state.
</text>
  </threadedComment>
  <threadedComment ref="F24" dT="2025-03-14T12:57:46.33" personId="{BCF94A0E-36A2-436C-8EA0-F97A1E69925F}" id="{A8F790E2-E475-41C9-A139-93C85E29BEBB}">
    <text>No data recorded for Akwa Ibom but 1 suspected case reported for ‘Plateu’. This may have been misnamed or it is an additional case for Plateau.</text>
  </threadedComment>
  <threadedComment ref="AI24" dT="2025-03-14T12:50:16.58" personId="{BCF94A0E-36A2-436C-8EA0-F97A1E69925F}" id="{F29A43F4-A220-48FB-AE91-9957B435CF67}">
    <text xml:space="preserve">In addition to these reported cases for Plateau there was also a report for ‘Plateu’ - only 1 suspected case. </text>
  </threadedComment>
</ThreadedComments>
</file>

<file path=xl/threadedComments/threadedComment2.xml><?xml version="1.0" encoding="utf-8"?>
<ThreadedComments xmlns="http://schemas.microsoft.com/office/spreadsheetml/2018/threadedcomments" xmlns:x="http://schemas.openxmlformats.org/spreadsheetml/2006/main">
  <threadedComment ref="D11" dT="2025-03-14T15:59:58.58" personId="{BCF94A0E-36A2-436C-8EA0-F97A1E69925F}" id="{2C69041C-D9CF-4994-A9DE-5A8F91FC2129}">
    <text>Originally 0 but week 14 reported an additional case in Ondo that occurred in February but wasn’t originally recognised as a HCW so adding it here.</text>
  </threadedComment>
  <threadedComment ref="AH11" dT="2025-03-14T16:00:37.47" personId="{BCF94A0E-36A2-436C-8EA0-F97A1E69925F}" id="{18223D02-E3A0-4619-ACA7-36A8B1AF06AE}">
    <text>Originally 0 but week 14 reported an additional case from February so adding it here.</text>
  </threadedComment>
  <threadedComment ref="D12" dT="2025-03-14T15:49:10.70" personId="{BCF94A0E-36A2-436C-8EA0-F97A1E69925F}" id="{B7EE7725-2194-4B02-A347-9D521CE7201D}">
    <text>Originally 2 but Week 11 reports an additional HCW case in Kogi in Week 9 so adding it here.</text>
  </threadedComment>
  <threadedComment ref="AB12" dT="2025-03-14T15:49:44.02" personId="{BCF94A0E-36A2-436C-8EA0-F97A1E69925F}" id="{331525E3-4C17-49BE-9448-5AF9E6F133D9}">
    <text>Originally 0 but week 11 reports an additional case that occurred in week 9 so adding it here.</text>
  </threadedComment>
  <threadedComment ref="D15" dT="2025-03-14T15:52:34.72" personId="{BCF94A0E-36A2-436C-8EA0-F97A1E69925F}" id="{3F9876E3-11E7-46E5-978E-7D13F788EB76}">
    <text>Originally 0 but Week 13 reported 6 additional cases from Ebonyi</text>
  </threadedComment>
  <threadedComment ref="P15" dT="2025-03-14T15:52:53.07" personId="{BCF94A0E-36A2-436C-8EA0-F97A1E69925F}" id="{217C99DB-3215-4D4D-B435-D47C2ADBB783}">
    <text xml:space="preserve">Originally 0 but Week 13 reported 6 additional cases </text>
  </threadedComment>
  <threadedComment ref="D18" dT="2025-03-14T16:05:30.15" personId="{BCF94A0E-36A2-436C-8EA0-F97A1E69925F}" id="{EC6024ED-0C0C-44AC-9031-BFDD7A5A8EEA}">
    <text>Originally 0 but an additional 9 cases were reported in week 16 - 8 in Edo and 1 in Taraba. It doesn’t specify when though.</text>
  </threadedComment>
  <threadedComment ref="D25" dT="2025-03-14T16:11:36.77" personId="{BCF94A0E-36A2-436C-8EA0-F97A1E69925F}" id="{B5FDC20E-764D-417C-A70D-73F864F2271E}">
    <text>No additional cases overall this week but the case in Benue has gone and there is an additional case in Edo with no explanation. Changing in this week.</text>
  </threadedComment>
  <threadedComment ref="D53" dT="2025-03-14T16:23:35.34" personId="{BCF94A0E-36A2-436C-8EA0-F97A1E69925F}" id="{867D3B25-4694-4C5A-8362-81AE891BDF2D}">
    <text>Reports 1 additional HCW case but hasn’t included it in state totals so doesn’t say where and subsequent weeks also don’t say where it is.</text>
  </threadedComment>
  <threadedComment ref="E55" dT="2025-03-14T16:30:11.62" personId="{BCF94A0E-36A2-436C-8EA0-F97A1E69925F}" id="{57FEC037-B095-4EAF-A062-B3547A2F943A}">
    <text>If you add the state totals together there are 44 cases as one case was added in week 50 but not mentioned in any particular state.</text>
  </threadedComment>
  <threadedComment ref="A56" dT="2025-03-14T14:43:44.91" personId="{BCF94A0E-36A2-436C-8EA0-F97A1E69925F}" id="{716A939F-4743-42F7-8A4D-7A8D3565A20F}">
    <text>Data on ECW not in a table. Reported in text.</text>
  </threadedComment>
  <threadedComment ref="D58" dT="2025-03-14T14:44:18.98" personId="{BCF94A0E-36A2-436C-8EA0-F97A1E69925F}" id="{99C95046-1AE6-4E24-8A0A-78A56BC9044D}">
    <text>Originally 1 but week 4 reports 2 additional cases in Ondo prior to week 4 so adding them here.</text>
  </threadedComment>
  <threadedComment ref="AH58" dT="2025-03-14T14:47:41.59" personId="{BCF94A0E-36A2-436C-8EA0-F97A1E69925F}" id="{60ECBC8B-CC74-4543-9691-78B86A705B12}">
    <text>Originally 0 but week 4 had 2 additional cases from Ondo so adding them here</text>
  </threadedComment>
  <threadedComment ref="Q59" dT="2025-03-14T14:48:09.28" personId="{BCF94A0E-36A2-436C-8EA0-F97A1E69925F}" id="{31808F19-3B56-4BD1-9C86-B54B16BBB40D}">
    <text>Originally 0 but week 5 had 1 additional case in Edo so adding here</text>
  </threadedComment>
  <threadedComment ref="E85" dT="2025-03-14T15:05:13.05" personId="{BCF94A0E-36A2-436C-8EA0-F97A1E69925F}" id="{25975196-DEB5-47CD-8345-F09A1AB2565C}">
    <text>Week 29 report states that the total number of HCW cases was reduced by two because two duplicates were identified. There were some other differences - Edo has 6 rather than 8 cases, Ebonyi 1 rather than 2 and Delta has 1 rather than 0. I’ve shown the total for each state in the row above and changed the total for this week.</text>
  </threadedComment>
  <threadedComment ref="D91" dT="2025-03-14T15:25:18.12" personId="{BCF94A0E-36A2-436C-8EA0-F97A1E69925F}" id="{9F29BED3-EB51-4FB1-9007-30B711A4B192}">
    <text>Report not available but Week 36 states that there is an additional case in Ebonyi so I’ve added it here.</text>
  </threadedComment>
  <threadedComment ref="P91" dT="2025-03-14T15:25:48.82" personId="{BCF94A0E-36A2-436C-8EA0-F97A1E69925F}" id="{108DE559-93C8-4962-8B60-9DC1D37FCE05}">
    <text>Report not available but week 36 has an additional case in Ebonyi so I’ve added it here.</text>
  </threadedComment>
  <threadedComment ref="D92" dT="2025-03-14T15:23:55.69" personId="{BCF94A0E-36A2-436C-8EA0-F97A1E69925F}" id="{5AF6EE7A-6DF5-4C34-8D8C-D18977D1294A}">
    <text>Report says no new HCW but total of 19 infected and one additional case in Ebonyi mentioned. Have added to previous week.</text>
  </threadedComment>
  <threadedComment ref="A109" dT="2025-03-13T18:18:02.92" personId="{BCF94A0E-36A2-436C-8EA0-F97A1E69925F}" id="{AF3318C5-1BF5-4B49-B8F3-B527A92BB19B}">
    <text>Unlike in later years, table doesn’t include HCW by state so not always clear where the HCWs come from. Sometimes says in summary where new HCW cases occur but if any are added to the total from previous weeks they are just added to the total</text>
  </threadedComment>
  <threadedComment ref="D110" dT="2025-03-13T18:10:08.76" personId="{BCF94A0E-36A2-436C-8EA0-F97A1E69925F}" id="{4AD4379B-2688-4125-B974-CC40D0D544AB}">
    <text>Doesn’t say which state. Also doesn’t appear in cumulative data</text>
  </threadedComment>
  <threadedComment ref="D111" dT="2025-03-13T18:13:36.13" personId="{BCF94A0E-36A2-436C-8EA0-F97A1E69925F}" id="{FAFA7096-1EDF-478B-BC1D-27D0C07EDE36}">
    <text>Originally 0 but 1 has been added to cumulative count in week 4 so adding one here. Doesn’t say which state.</text>
  </threadedComment>
  <threadedComment ref="D112" dT="2025-03-13T18:15:33.47" personId="{BCF94A0E-36A2-436C-8EA0-F97A1E69925F}" id="{C0B730FE-B51D-47EB-8775-9BD56C4575AF}">
    <text>Originally 5 but cumulative number had gone up to 10 in week 5 so adding 2 more. Doesn’t say which state they are in though.</text>
  </threadedComment>
  <threadedComment ref="D113" dT="2025-03-13T18:21:04.77" personId="{BCF94A0E-36A2-436C-8EA0-F97A1E69925F}" id="{0B10CBBF-5EB1-41BE-BA8B-8FE41634F7B3}">
    <text>Originally 1 but cumulative in week 6 has gone up to 16 so adding 1 here. Not stated where the case occurred</text>
  </threadedComment>
  <threadedComment ref="D114" dT="2025-03-13T18:21:44.23" personId="{BCF94A0E-36A2-436C-8EA0-F97A1E69925F}" id="{30FBE518-4C8A-405D-B1E8-89E23F356614}">
    <text>Says they are in Ondo, Delta and Kaduna but not how many in each. Have put 1 in each but don’t know where to put the 4th.</text>
  </threadedComment>
  <threadedComment ref="D114" dT="2025-03-13T18:24:21.90" personId="{BCF94A0E-36A2-436C-8EA0-F97A1E69925F}" id="{190A363B-F6FB-4218-B1C0-1FFF466C6DA2}" parentId="{30FBE518-4C8A-405D-B1E8-89E23F356614}">
    <text>In week 7 an additional 4 cases have been added to the cumulative number so will add here.</text>
  </threadedComment>
  <threadedComment ref="A116" dT="2025-03-14T11:27:52.03" personId="{BCF94A0E-36A2-436C-8EA0-F97A1E69925F}" id="{8898602E-3557-4E5A-9B42-4FADB87BB4AC}">
    <text>Table has started showing which number of HCW by state</text>
  </threadedComment>
  <threadedComment ref="D116" dT="2025-03-13T18:33:43.52" personId="{BCF94A0E-36A2-436C-8EA0-F97A1E69925F}" id="{34D4DB8B-B67E-4F58-8E81-1F065FEA4F50}">
    <text>Originally 2 but week 8 showed 2 more in cumulative both in Ebonyi</text>
  </threadedComment>
  <threadedComment ref="P116" dT="2025-03-13T18:34:07.37" personId="{BCF94A0E-36A2-436C-8EA0-F97A1E69925F}" id="{91335192-A258-48F7-BEB6-0DE89F59C622}">
    <text>Originally 0 but week 8 showed there were 2.</text>
  </threadedComment>
  <threadedComment ref="D119" dT="2025-03-13T18:37:47.46" personId="{BCF94A0E-36A2-436C-8EA0-F97A1E69925F}" id="{325B3142-211A-4059-88AF-8558F61DFF4F}">
    <text>Originally 2 but week 11 showed 1 more in cumulative. When looking at states there are some states that have increased and some have decreased. Added one here but there were so many changes in individual states I’ve put in a correction instead.</text>
  </threadedComment>
  <threadedComment ref="A122" dT="2025-03-13T18:46:01.21" personId="{BCF94A0E-36A2-436C-8EA0-F97A1E69925F}" id="{CDEBCC5A-5022-40B2-BC41-319587924947}">
    <text>Need the correction to the cumulative numbers here because some of the states have gone down and some have gone up.</text>
  </threadedComment>
  <threadedComment ref="E122" dT="2025-03-14T09:55:17.46" personId="{BCF94A0E-36A2-436C-8EA0-F97A1E69925F}" id="{364C3A4F-8654-4583-97C3-C75FD4AF4C34}">
    <text>I’ve written this in rather than using the cumulative because there are so many changes from the data in previous weeks</text>
  </threadedComment>
  <threadedComment ref="D125" dT="2025-03-14T10:12:43.60" personId="{BCF94A0E-36A2-436C-8EA0-F97A1E69925F}" id="{8B28C53D-877E-49F0-A6B5-F75D33AFE513}">
    <text>Originally 0 but 3 additional cases added to cumulative total of week 15 - 1 in Benue and 2 in Ondo. Have added to this week</text>
  </threadedComment>
  <threadedComment ref="D134" dT="2025-03-14T10:40:37.44" personId="{BCF94A0E-36A2-436C-8EA0-F97A1E69925F}" id="{3A01189F-0F68-45DE-9481-72B8C6D88B08}">
    <text>Originally 0 but week 24 shows an additional case in Ondo so adding 1 here.</text>
  </threadedComment>
  <threadedComment ref="AH134" dT="2025-03-14T10:41:05.63" personId="{BCF94A0E-36A2-436C-8EA0-F97A1E69925F}" id="{3E1449A1-46B8-46E9-812B-31F94208FC39}">
    <text>Originally 0 but week 24 shows an additional case so adding 1 here.</text>
  </threadedComment>
  <threadedComment ref="D156" dT="2025-03-14T11:08:28.73" personId="{BCF94A0E-36A2-436C-8EA0-F97A1E69925F}" id="{899AC380-E60B-4BD8-955A-B17236219775}">
    <text>Originally 0 but cumulative total in week 46 is higher by 1 which is a result of 2 being added to Ondo and 1 being removed from Edo. I’ve done this correction by removing 1 case from the week 11 cumulative total for Edo as that was the last time anything was reported in Edo. This means the cumulative numbers between then and week 45 no longer match those in the reports.</text>
  </threadedComment>
  <threadedComment ref="D218" dT="2025-03-06T19:08:57.09" personId="{BCF94A0E-36A2-436C-8EA0-F97A1E69925F}" id="{6CB55010-F9AB-41BE-B46D-7D1FB1F5B8A8}">
    <text>Originally 3</text>
  </threadedComment>
  <threadedComment ref="Q218" dT="2025-03-06T19:09:13.93" personId="{BCF94A0E-36A2-436C-8EA0-F97A1E69925F}" id="{9AC400F3-37F4-4A13-A8DB-F29C80B4ABF7}">
    <text>Originally 3</text>
  </threadedComment>
  <threadedComment ref="D219" dT="2025-03-06T18:43:51.71" personId="{BCF94A0E-36A2-436C-8EA0-F97A1E69925F}" id="{2D3EDF6E-0913-45D1-96C7-3B1C7A77C8D9}">
    <text>Originally 0</text>
  </threadedComment>
  <threadedComment ref="L219" dT="2025-03-06T18:43:59.93" personId="{BCF94A0E-36A2-436C-8EA0-F97A1E69925F}" id="{53ADECDF-4BE7-4E2A-A752-21CB9B8A1C27}">
    <text>Originally 0</text>
  </threadedComment>
  <threadedComment ref="D220" dT="2025-03-06T19:14:15.63" personId="{BCF94A0E-36A2-436C-8EA0-F97A1E69925F}" id="{5F0F505D-797E-455A-BD6E-3EDE4B2A2127}">
    <text>Originally 0</text>
  </threadedComment>
  <threadedComment ref="J220" dT="2025-03-06T19:15:10.63" personId="{BCF94A0E-36A2-436C-8EA0-F97A1E69925F}" id="{8F66B65B-9688-4EC5-807C-C79F45C62BF7}">
    <text>Originally 0</text>
  </threadedComment>
  <threadedComment ref="L220" dT="2025-03-06T19:14:33.18" personId="{BCF94A0E-36A2-436C-8EA0-F97A1E69925F}" id="{844A3121-2EFD-4C9E-AF2A-DFB0560873F1}">
    <text>Originally 0</text>
  </threadedComment>
  <threadedComment ref="D222" dT="2025-03-06T19:21:15.58" personId="{BCF94A0E-36A2-436C-8EA0-F97A1E69925F}" id="{15D28B7A-ADD1-4DAC-9DA1-D81D6BD9B6AA}">
    <text>Originally 7</text>
  </threadedComment>
  <threadedComment ref="P222" dT="2025-03-06T19:21:00.50" personId="{BCF94A0E-36A2-436C-8EA0-F97A1E69925F}" id="{AF58527C-D4E0-45B2-92EB-C3492A6E99DE}">
    <text>Originally 0</text>
  </threadedComment>
  <threadedComment ref="D223" dT="2025-03-06T19:24:02.08" personId="{BCF94A0E-36A2-436C-8EA0-F97A1E69925F}" id="{DF19575B-7E5A-4811-B842-7D5279B65AAA}">
    <text>Originally 2</text>
  </threadedComment>
  <threadedComment ref="J223" dT="2025-03-06T19:23:41.13" personId="{BCF94A0E-36A2-436C-8EA0-F97A1E69925F}" id="{78E91C9F-7FB5-4AD8-A587-77A20ADA1F16}">
    <text>Originally 1</text>
  </threadedComment>
  <threadedComment ref="D224" dT="2025-03-06T19:31:21.40" personId="{BCF94A0E-36A2-436C-8EA0-F97A1E69925F}" id="{6D4394E4-1E5E-41F0-9C1F-04BEE835D2C1}">
    <text>Originally 5</text>
  </threadedComment>
  <threadedComment ref="U224" dT="2025-03-06T19:30:56.42" personId="{BCF94A0E-36A2-436C-8EA0-F97A1E69925F}" id="{E6F7F9DF-3A61-431F-B3A7-10A86C730972}">
    <text>Originally 0</text>
  </threadedComment>
  <threadedComment ref="D227" dT="2025-03-06T21:08:14.64" personId="{BCF94A0E-36A2-436C-8EA0-F97A1E69925F}" id="{21BA134A-E797-41B7-91AA-97F381B17E3D}">
    <text>Originally 1</text>
  </threadedComment>
  <threadedComment ref="X227" dT="2025-03-06T21:08:44.43" personId="{BCF94A0E-36A2-436C-8EA0-F97A1E69925F}" id="{06DFE0F3-5802-4662-9E93-F6AF952CE2EB}">
    <text>Originally 0</text>
  </threadedComment>
  <threadedComment ref="AH227" dT="2025-03-06T21:07:20.41" personId="{BCF94A0E-36A2-436C-8EA0-F97A1E69925F}" id="{E36FD647-BD61-43BF-81E4-D27B0C5CFAA7}">
    <text>Originally 0</text>
  </threadedComment>
  <threadedComment ref="D239" dT="2025-03-06T21:21:18.79" personId="{BCF94A0E-36A2-436C-8EA0-F97A1E69925F}" id="{8BB7D199-F4EE-4E1B-8843-BD1021D1B0B8}">
    <text>Not sure which week the one for Taraba belongs to so putting it here for now</text>
  </threadedComment>
  <threadedComment ref="D249" dT="2025-03-06T21:28:56.16" personId="{BCF94A0E-36A2-436C-8EA0-F97A1E69925F}" id="{BF17FB9D-DE72-43C1-9B07-083D7AD9909D}">
    <text>Originally 0</text>
  </threadedComment>
  <threadedComment ref="S249" dT="2025-03-06T21:28:44.41" personId="{BCF94A0E-36A2-436C-8EA0-F97A1E69925F}" id="{7D4E782D-E476-417A-8A00-B886EB1BB585}">
    <text>Originally 0</text>
  </threadedComment>
  <threadedComment ref="D267" dT="2025-03-06T21:41:04.38" personId="{BCF94A0E-36A2-436C-8EA0-F97A1E69925F}" id="{2154E109-949C-4C8F-9654-712AE4A0DB69}">
    <text>Originally 1</text>
  </threadedComment>
  <threadedComment ref="J267" dT="2025-03-06T21:39:33.00" personId="{BCF94A0E-36A2-436C-8EA0-F97A1E69925F}" id="{ADC47E36-3EA1-4EAC-9908-8084DD096F43}">
    <text>Originally 1</text>
  </threadedComment>
  <threadedComment ref="D282" dT="2025-03-06T15:03:34.56" personId="{BCF94A0E-36A2-436C-8EA0-F97A1E69925F}" id="{E314FFEF-EB00-4171-A355-736EDCA58FC5}">
    <text>Originally 0</text>
  </threadedComment>
  <threadedComment ref="J282" dT="2025-03-06T15:03:20.26" personId="{BCF94A0E-36A2-436C-8EA0-F97A1E69925F}" id="{8F97054B-BA8D-4629-B40D-BBA8D4AFE657}">
    <text xml:space="preserve">Originally 0 </text>
  </threadedComment>
  <threadedComment ref="AE282" dT="2025-03-06T15:05:02.16" personId="{BCF94A0E-36A2-436C-8EA0-F97A1E69925F}" id="{9F5D8B76-3B97-4887-B36A-E4169F99BBBD}">
    <text>Originally 0</text>
  </threadedComment>
  <threadedComment ref="D283" dT="2025-03-06T15:09:01.05" personId="{BCF94A0E-36A2-436C-8EA0-F97A1E69925F}" id="{235A2BD1-3370-4895-83B0-CDB1366C99DB}">
    <text>Originally 0</text>
  </threadedComment>
  <threadedComment ref="AN283" dT="2025-03-06T15:08:43.38" personId="{BCF94A0E-36A2-436C-8EA0-F97A1E69925F}" id="{78D6513A-B2D9-47B1-BB20-F18208A7EA14}">
    <text>Originally 0</text>
  </threadedComment>
  <threadedComment ref="D285" dT="2025-03-06T15:12:46.86" personId="{BCF94A0E-36A2-436C-8EA0-F97A1E69925F}" id="{10A72523-020B-425A-B2D8-1F329B565D81}">
    <text>Originally 0</text>
  </threadedComment>
  <threadedComment ref="AN285" dT="2025-03-06T15:12:30.41" personId="{BCF94A0E-36A2-436C-8EA0-F97A1E69925F}" id="{4E43A601-CC4D-4612-B5E6-8905344C4734}">
    <text>Originally 0</text>
  </threadedComment>
  <threadedComment ref="D375" dT="2025-03-14T14:14:52.39" personId="{BCF94A0E-36A2-436C-8EA0-F97A1E69925F}" id="{18EC4CEA-5309-4DB7-BA47-DD6085A8C4C4}">
    <text>Originally 0 but week 4 has an additional case in cumulative - in Taraba. So added 1 here.</text>
  </threadedComment>
  <threadedComment ref="AN375" dT="2025-03-14T14:15:32.55" personId="{BCF94A0E-36A2-436C-8EA0-F97A1E69925F}" id="{DD661C84-11D9-4CF2-BF65-B9D0D4ACE13D}">
    <text>Originally 0 but week 4 cumulative had an additional case in Taraba so have added it here.</text>
  </threadedComment>
  <threadedComment ref="D376" dT="2025-03-14T14:17:09.40" personId="{BCF94A0E-36A2-436C-8EA0-F97A1E69925F}" id="{207914B5-AC40-400C-835F-922A0B8B923C}">
    <text>Originally 0 but cumulative for week 5 has an additional 6 cases in Ondo so will add them here.</text>
  </threadedComment>
  <threadedComment ref="AH376" dT="2025-03-14T14:17:43.05" personId="{BCF94A0E-36A2-436C-8EA0-F97A1E69925F}" id="{FE94D857-DF93-4B0C-AE8B-8AFC64F56213}">
    <text>Originally 0 but week 5 cumulative has an additional 6 cases in Ondo so have added them here.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66A9-2F9B-4CEE-91D6-A9DB24BA1BE8}">
  <dimension ref="A1:AN47"/>
  <sheetViews>
    <sheetView tabSelected="1" workbookViewId="0">
      <pane xSplit="2" ySplit="3" topLeftCell="AB4" activePane="bottomRight" state="frozen"/>
      <selection pane="topRight" activeCell="C1" sqref="C1"/>
      <selection pane="bottomLeft" activeCell="A4" sqref="A4"/>
      <selection pane="bottomRight" activeCell="AO12" sqref="AO12"/>
    </sheetView>
  </sheetViews>
  <sheetFormatPr defaultRowHeight="14.5" x14ac:dyDescent="0.35"/>
  <cols>
    <col min="4" max="4" width="8.81640625" customWidth="1"/>
    <col min="41" max="41" width="11.90625" customWidth="1"/>
  </cols>
  <sheetData>
    <row r="1" spans="1:40" x14ac:dyDescent="0.35">
      <c r="A1" s="6" t="s">
        <v>0</v>
      </c>
    </row>
    <row r="2" spans="1:40" x14ac:dyDescent="0.35">
      <c r="A2" t="s">
        <v>300</v>
      </c>
    </row>
    <row r="3" spans="1:40" s="6" customFormat="1" x14ac:dyDescent="0.35">
      <c r="A3" s="6" t="s">
        <v>1</v>
      </c>
      <c r="B3" s="6" t="s">
        <v>303</v>
      </c>
      <c r="C3" s="8" t="s">
        <v>298</v>
      </c>
      <c r="D3" s="6" t="s">
        <v>40</v>
      </c>
      <c r="E3" s="6" t="s">
        <v>13</v>
      </c>
      <c r="F3" s="6" t="s">
        <v>35</v>
      </c>
      <c r="G3" s="6" t="s">
        <v>22</v>
      </c>
      <c r="H3" s="6" t="s">
        <v>6</v>
      </c>
      <c r="I3" s="6" t="s">
        <v>25</v>
      </c>
      <c r="J3" s="6" t="s">
        <v>7</v>
      </c>
      <c r="K3" s="6" t="s">
        <v>38</v>
      </c>
      <c r="L3" s="6" t="s">
        <v>19</v>
      </c>
      <c r="M3" s="6" t="s">
        <v>21</v>
      </c>
      <c r="N3" s="6" t="s">
        <v>11</v>
      </c>
      <c r="O3" s="6" t="s">
        <v>4</v>
      </c>
      <c r="P3" s="6" t="s">
        <v>36</v>
      </c>
      <c r="Q3" s="6" t="s">
        <v>12</v>
      </c>
      <c r="R3" s="6" t="s">
        <v>17</v>
      </c>
      <c r="S3" s="6" t="s">
        <v>15</v>
      </c>
      <c r="T3" s="6" t="s">
        <v>10</v>
      </c>
      <c r="U3" s="6" t="s">
        <v>24</v>
      </c>
      <c r="V3" s="6" t="s">
        <v>18</v>
      </c>
      <c r="W3" s="6" t="s">
        <v>27</v>
      </c>
      <c r="X3" s="6" t="s">
        <v>26</v>
      </c>
      <c r="Y3" s="6" t="s">
        <v>33</v>
      </c>
      <c r="Z3" s="6" t="s">
        <v>16</v>
      </c>
      <c r="AA3" s="6" t="s">
        <v>37</v>
      </c>
      <c r="AB3" s="6" t="s">
        <v>29</v>
      </c>
      <c r="AC3" s="6" t="s">
        <v>14</v>
      </c>
      <c r="AD3" s="6" t="s">
        <v>23</v>
      </c>
      <c r="AE3" s="6" t="s">
        <v>30</v>
      </c>
      <c r="AF3" s="6" t="s">
        <v>5</v>
      </c>
      <c r="AG3" s="6" t="s">
        <v>39</v>
      </c>
      <c r="AH3" s="6" t="s">
        <v>28</v>
      </c>
      <c r="AI3" s="6" t="s">
        <v>9</v>
      </c>
      <c r="AJ3" s="6" t="s">
        <v>20</v>
      </c>
      <c r="AK3" s="6" t="s">
        <v>32</v>
      </c>
      <c r="AL3" s="6" t="s">
        <v>8</v>
      </c>
      <c r="AM3" s="6" t="s">
        <v>31</v>
      </c>
      <c r="AN3" s="6" t="s">
        <v>34</v>
      </c>
    </row>
    <row r="4" spans="1:40" s="1" customFormat="1" x14ac:dyDescent="0.35">
      <c r="A4" s="7">
        <v>2017</v>
      </c>
      <c r="B4" s="1" t="s">
        <v>294</v>
      </c>
      <c r="C4" s="9">
        <v>1022</v>
      </c>
    </row>
    <row r="5" spans="1:40" x14ac:dyDescent="0.35">
      <c r="A5" s="7">
        <v>2017</v>
      </c>
      <c r="B5" t="s">
        <v>295</v>
      </c>
      <c r="C5" s="10">
        <v>308</v>
      </c>
    </row>
    <row r="6" spans="1:40" x14ac:dyDescent="0.35">
      <c r="A6" s="7">
        <v>2017</v>
      </c>
      <c r="B6" t="s">
        <v>299</v>
      </c>
      <c r="C6" s="10">
        <v>14</v>
      </c>
    </row>
    <row r="7" spans="1:40" x14ac:dyDescent="0.35">
      <c r="A7" s="7">
        <v>2017</v>
      </c>
      <c r="B7" t="s">
        <v>297</v>
      </c>
      <c r="C7" s="10"/>
    </row>
    <row r="8" spans="1:40" x14ac:dyDescent="0.35">
      <c r="A8" s="7">
        <v>2017</v>
      </c>
      <c r="B8" t="s">
        <v>296</v>
      </c>
      <c r="C8" s="10">
        <v>92</v>
      </c>
    </row>
    <row r="9" spans="1:40" s="1" customFormat="1" x14ac:dyDescent="0.35">
      <c r="A9" s="7">
        <v>2018</v>
      </c>
      <c r="B9" s="1" t="s">
        <v>294</v>
      </c>
      <c r="C9" s="9">
        <v>3498</v>
      </c>
    </row>
    <row r="10" spans="1:40" x14ac:dyDescent="0.35">
      <c r="A10" s="7">
        <v>2018</v>
      </c>
      <c r="B10" t="s">
        <v>295</v>
      </c>
      <c r="C10" s="10">
        <v>633</v>
      </c>
      <c r="D10">
        <v>1</v>
      </c>
      <c r="E10">
        <v>3</v>
      </c>
      <c r="G10">
        <v>4</v>
      </c>
      <c r="H10">
        <v>24</v>
      </c>
      <c r="J10">
        <v>1</v>
      </c>
      <c r="M10">
        <v>11</v>
      </c>
      <c r="N10">
        <v>72</v>
      </c>
      <c r="O10">
        <v>279</v>
      </c>
      <c r="P10">
        <v>2</v>
      </c>
      <c r="Q10">
        <v>1</v>
      </c>
      <c r="R10">
        <v>5</v>
      </c>
      <c r="S10">
        <v>4</v>
      </c>
      <c r="T10">
        <v>5</v>
      </c>
      <c r="V10">
        <v>3</v>
      </c>
      <c r="W10">
        <v>1</v>
      </c>
      <c r="Z10">
        <v>12</v>
      </c>
      <c r="AB10">
        <v>1</v>
      </c>
      <c r="AC10">
        <v>4</v>
      </c>
      <c r="AF10">
        <v>159</v>
      </c>
      <c r="AG10">
        <v>2</v>
      </c>
      <c r="AI10">
        <v>14</v>
      </c>
      <c r="AJ10">
        <v>2</v>
      </c>
      <c r="AL10">
        <v>23</v>
      </c>
    </row>
    <row r="11" spans="1:40" x14ac:dyDescent="0.35">
      <c r="A11" s="7">
        <v>2018</v>
      </c>
      <c r="B11" t="s">
        <v>299</v>
      </c>
      <c r="C11" s="10">
        <v>20</v>
      </c>
    </row>
    <row r="12" spans="1:40" x14ac:dyDescent="0.35">
      <c r="A12" s="7">
        <v>2018</v>
      </c>
      <c r="B12" t="s">
        <v>297</v>
      </c>
      <c r="C12" s="10">
        <v>45</v>
      </c>
      <c r="D12">
        <v>1</v>
      </c>
      <c r="N12">
        <v>16</v>
      </c>
      <c r="O12">
        <v>15</v>
      </c>
      <c r="Z12">
        <v>2</v>
      </c>
      <c r="AC12">
        <v>1</v>
      </c>
      <c r="AF12">
        <v>8</v>
      </c>
      <c r="AL12">
        <v>1</v>
      </c>
    </row>
    <row r="13" spans="1:40" x14ac:dyDescent="0.35">
      <c r="A13" s="7">
        <v>2018</v>
      </c>
      <c r="B13" t="s">
        <v>296</v>
      </c>
      <c r="C13" s="10">
        <v>171</v>
      </c>
    </row>
    <row r="14" spans="1:40" s="1" customFormat="1" x14ac:dyDescent="0.35">
      <c r="A14" s="7">
        <v>2019</v>
      </c>
      <c r="B14" s="1" t="s">
        <v>294</v>
      </c>
      <c r="C14" s="9">
        <v>5057</v>
      </c>
    </row>
    <row r="15" spans="1:40" x14ac:dyDescent="0.35">
      <c r="A15" s="7">
        <v>2019</v>
      </c>
      <c r="B15" t="s">
        <v>295</v>
      </c>
      <c r="C15" s="10">
        <v>833</v>
      </c>
      <c r="D15">
        <v>2</v>
      </c>
      <c r="E15">
        <v>1</v>
      </c>
      <c r="H15">
        <v>56</v>
      </c>
      <c r="J15">
        <v>8</v>
      </c>
      <c r="L15">
        <v>1</v>
      </c>
      <c r="M15">
        <v>3</v>
      </c>
      <c r="N15">
        <v>57</v>
      </c>
      <c r="O15">
        <v>306</v>
      </c>
      <c r="Q15">
        <v>2</v>
      </c>
      <c r="S15">
        <v>4</v>
      </c>
      <c r="T15">
        <v>2</v>
      </c>
      <c r="V15">
        <v>5</v>
      </c>
      <c r="Y15">
        <v>7</v>
      </c>
      <c r="Z15">
        <v>4</v>
      </c>
      <c r="AA15">
        <v>1</v>
      </c>
      <c r="AB15">
        <v>1</v>
      </c>
      <c r="AC15">
        <v>7</v>
      </c>
      <c r="AF15">
        <v>285</v>
      </c>
      <c r="AH15">
        <v>2</v>
      </c>
      <c r="AI15">
        <v>36</v>
      </c>
      <c r="AJ15">
        <v>2</v>
      </c>
      <c r="AL15">
        <v>40</v>
      </c>
      <c r="AN15">
        <v>1</v>
      </c>
    </row>
    <row r="16" spans="1:40" x14ac:dyDescent="0.35">
      <c r="A16" s="7">
        <v>2019</v>
      </c>
      <c r="B16" t="s">
        <v>299</v>
      </c>
      <c r="C16" s="10">
        <v>19</v>
      </c>
    </row>
    <row r="17" spans="1:40" x14ac:dyDescent="0.35">
      <c r="A17" s="7">
        <v>2019</v>
      </c>
      <c r="B17" t="s">
        <v>297</v>
      </c>
      <c r="C17" s="10">
        <v>20</v>
      </c>
      <c r="H17">
        <v>1</v>
      </c>
      <c r="J17">
        <v>1</v>
      </c>
      <c r="M17">
        <v>1</v>
      </c>
      <c r="N17">
        <v>2</v>
      </c>
      <c r="O17">
        <v>6</v>
      </c>
      <c r="Q17">
        <v>1</v>
      </c>
      <c r="Y17">
        <v>1</v>
      </c>
      <c r="AF17">
        <v>5</v>
      </c>
      <c r="AI17">
        <v>1</v>
      </c>
      <c r="AJ17">
        <v>1</v>
      </c>
    </row>
    <row r="18" spans="1:40" x14ac:dyDescent="0.35">
      <c r="A18" s="7">
        <v>2019</v>
      </c>
      <c r="B18" t="s">
        <v>296</v>
      </c>
      <c r="C18" s="10">
        <v>174</v>
      </c>
    </row>
    <row r="19" spans="1:40" s="1" customFormat="1" x14ac:dyDescent="0.35">
      <c r="A19" s="7">
        <v>2020</v>
      </c>
      <c r="B19" s="1" t="s">
        <v>294</v>
      </c>
      <c r="C19" s="9">
        <v>6791</v>
      </c>
      <c r="D19" s="1">
        <v>62</v>
      </c>
      <c r="E19" s="1">
        <v>21</v>
      </c>
      <c r="F19" s="1">
        <v>13</v>
      </c>
      <c r="G19" s="1">
        <v>35</v>
      </c>
      <c r="H19" s="1">
        <v>413</v>
      </c>
      <c r="I19" s="1">
        <v>7</v>
      </c>
      <c r="J19" s="1">
        <v>108</v>
      </c>
      <c r="K19" s="1">
        <v>34</v>
      </c>
      <c r="L19" s="1">
        <v>14</v>
      </c>
      <c r="M19" s="1">
        <v>172</v>
      </c>
      <c r="N19" s="1">
        <v>372</v>
      </c>
      <c r="O19" s="1">
        <v>2794</v>
      </c>
      <c r="P19" s="1">
        <v>20</v>
      </c>
      <c r="Q19" s="1">
        <v>74</v>
      </c>
      <c r="R19" s="1">
        <v>74</v>
      </c>
      <c r="S19" s="1">
        <v>56</v>
      </c>
      <c r="T19" s="1">
        <v>22</v>
      </c>
      <c r="U19" s="1">
        <v>30</v>
      </c>
      <c r="V19" s="1">
        <v>132</v>
      </c>
      <c r="W19" s="1">
        <v>26</v>
      </c>
      <c r="X19" s="1">
        <v>50</v>
      </c>
      <c r="Y19" s="1">
        <v>32</v>
      </c>
      <c r="Z19" s="1">
        <v>117</v>
      </c>
      <c r="AA19" s="1">
        <v>15</v>
      </c>
      <c r="AB19" s="1">
        <v>33</v>
      </c>
      <c r="AC19" s="1">
        <v>52</v>
      </c>
      <c r="AD19" s="1">
        <v>10</v>
      </c>
      <c r="AE19" s="1">
        <v>40</v>
      </c>
      <c r="AF19" s="1">
        <v>1502</v>
      </c>
      <c r="AG19" s="1">
        <v>36</v>
      </c>
      <c r="AH19" s="1">
        <v>13</v>
      </c>
      <c r="AI19" s="1">
        <v>188</v>
      </c>
      <c r="AJ19" s="1">
        <v>22</v>
      </c>
      <c r="AK19" s="1">
        <v>25</v>
      </c>
      <c r="AL19" s="1">
        <v>154</v>
      </c>
      <c r="AM19" s="1">
        <v>5</v>
      </c>
      <c r="AN19" s="1">
        <v>18</v>
      </c>
    </row>
    <row r="20" spans="1:40" x14ac:dyDescent="0.35">
      <c r="A20" s="7">
        <v>2020</v>
      </c>
      <c r="B20" t="s">
        <v>295</v>
      </c>
      <c r="C20" s="10">
        <v>1189</v>
      </c>
      <c r="D20">
        <v>5</v>
      </c>
      <c r="E20">
        <v>4</v>
      </c>
      <c r="G20">
        <v>2</v>
      </c>
      <c r="H20">
        <v>53</v>
      </c>
      <c r="J20">
        <v>10</v>
      </c>
      <c r="K20">
        <v>4</v>
      </c>
      <c r="M20">
        <v>18</v>
      </c>
      <c r="N20">
        <v>81</v>
      </c>
      <c r="O20">
        <v>385</v>
      </c>
      <c r="Q20">
        <v>10</v>
      </c>
      <c r="R20">
        <v>3</v>
      </c>
      <c r="S20">
        <v>9</v>
      </c>
      <c r="V20">
        <v>7</v>
      </c>
      <c r="W20">
        <v>5</v>
      </c>
      <c r="X20">
        <v>6</v>
      </c>
      <c r="Y20">
        <v>4</v>
      </c>
      <c r="Z20">
        <v>40</v>
      </c>
      <c r="AB20">
        <v>1</v>
      </c>
      <c r="AC20">
        <v>10</v>
      </c>
      <c r="AE20">
        <v>1</v>
      </c>
      <c r="AF20">
        <v>423</v>
      </c>
      <c r="AG20">
        <v>2</v>
      </c>
      <c r="AH20">
        <v>1</v>
      </c>
      <c r="AI20">
        <v>33</v>
      </c>
      <c r="AJ20">
        <v>9</v>
      </c>
      <c r="AK20">
        <v>5</v>
      </c>
      <c r="AL20">
        <v>58</v>
      </c>
    </row>
    <row r="21" spans="1:40" x14ac:dyDescent="0.35">
      <c r="A21" s="7">
        <v>2020</v>
      </c>
      <c r="B21" t="s">
        <v>299</v>
      </c>
      <c r="C21" s="10">
        <v>14</v>
      </c>
      <c r="H21">
        <v>3</v>
      </c>
      <c r="O21">
        <v>1</v>
      </c>
      <c r="S21">
        <v>1</v>
      </c>
      <c r="V21">
        <v>2</v>
      </c>
      <c r="W21">
        <v>2</v>
      </c>
      <c r="X21">
        <v>1</v>
      </c>
      <c r="Z21">
        <v>1</v>
      </c>
      <c r="AF21">
        <v>1</v>
      </c>
      <c r="AL21">
        <v>2</v>
      </c>
    </row>
    <row r="22" spans="1:40" x14ac:dyDescent="0.35">
      <c r="A22" s="7">
        <v>2020</v>
      </c>
      <c r="B22" t="s">
        <v>297</v>
      </c>
      <c r="C22" s="10">
        <v>48</v>
      </c>
      <c r="H22">
        <v>7</v>
      </c>
      <c r="J22">
        <v>1</v>
      </c>
      <c r="K22">
        <v>1</v>
      </c>
      <c r="M22">
        <v>3</v>
      </c>
      <c r="N22">
        <v>1</v>
      </c>
      <c r="O22">
        <v>9</v>
      </c>
      <c r="S22">
        <v>1</v>
      </c>
      <c r="U22">
        <v>1</v>
      </c>
      <c r="V22">
        <v>1</v>
      </c>
      <c r="W22">
        <v>3</v>
      </c>
      <c r="X22">
        <v>1</v>
      </c>
      <c r="AF22">
        <v>17</v>
      </c>
      <c r="AL22">
        <v>2</v>
      </c>
    </row>
    <row r="23" spans="1:40" x14ac:dyDescent="0.35">
      <c r="A23" s="7">
        <v>2020</v>
      </c>
      <c r="B23" t="s">
        <v>296</v>
      </c>
      <c r="C23" s="10">
        <v>244</v>
      </c>
      <c r="D23">
        <v>2</v>
      </c>
      <c r="E23">
        <v>1</v>
      </c>
      <c r="G23">
        <v>1</v>
      </c>
      <c r="H23">
        <v>22</v>
      </c>
      <c r="J23">
        <v>4</v>
      </c>
      <c r="K23">
        <v>1</v>
      </c>
      <c r="M23">
        <v>3</v>
      </c>
      <c r="N23">
        <v>23</v>
      </c>
      <c r="O23">
        <v>40</v>
      </c>
      <c r="Q23">
        <v>2</v>
      </c>
      <c r="R23">
        <v>2</v>
      </c>
      <c r="S23">
        <v>2</v>
      </c>
      <c r="V23">
        <v>5</v>
      </c>
      <c r="W23">
        <v>1</v>
      </c>
      <c r="X23">
        <v>2</v>
      </c>
      <c r="Y23">
        <v>2</v>
      </c>
      <c r="Z23">
        <v>8</v>
      </c>
      <c r="AC23">
        <v>4</v>
      </c>
      <c r="AF23">
        <v>83</v>
      </c>
      <c r="AI23">
        <v>8</v>
      </c>
      <c r="AJ23">
        <v>3</v>
      </c>
      <c r="AK23">
        <v>3</v>
      </c>
      <c r="AL23">
        <v>22</v>
      </c>
    </row>
    <row r="24" spans="1:40" s="1" customFormat="1" x14ac:dyDescent="0.35">
      <c r="A24" s="7">
        <v>2021</v>
      </c>
      <c r="B24" s="1" t="s">
        <v>294</v>
      </c>
      <c r="C24" s="9">
        <v>4633</v>
      </c>
      <c r="D24" s="1">
        <v>11</v>
      </c>
      <c r="E24" s="1">
        <v>8</v>
      </c>
      <c r="G24" s="1">
        <v>10</v>
      </c>
      <c r="H24" s="1">
        <v>164</v>
      </c>
      <c r="I24" s="1">
        <v>3</v>
      </c>
      <c r="J24" s="1">
        <v>38</v>
      </c>
      <c r="K24" s="1">
        <v>15</v>
      </c>
      <c r="L24" s="1">
        <v>4</v>
      </c>
      <c r="M24" s="1">
        <v>50</v>
      </c>
      <c r="N24" s="1">
        <v>143</v>
      </c>
      <c r="O24" s="1">
        <v>2725</v>
      </c>
      <c r="P24" s="1">
        <v>3</v>
      </c>
      <c r="Q24" s="1">
        <v>14</v>
      </c>
      <c r="R24" s="1">
        <v>59</v>
      </c>
      <c r="S24" s="1">
        <v>22</v>
      </c>
      <c r="T24" s="1">
        <v>9</v>
      </c>
      <c r="U24" s="1">
        <v>12</v>
      </c>
      <c r="V24" s="1">
        <v>53</v>
      </c>
      <c r="W24" s="1">
        <v>24</v>
      </c>
      <c r="X24" s="1">
        <v>2</v>
      </c>
      <c r="Y24" s="1">
        <v>2</v>
      </c>
      <c r="Z24" s="1">
        <v>17</v>
      </c>
      <c r="AA24" s="1">
        <v>4</v>
      </c>
      <c r="AB24" s="1">
        <v>16</v>
      </c>
      <c r="AC24" s="1">
        <v>79</v>
      </c>
      <c r="AD24" s="1">
        <v>1</v>
      </c>
      <c r="AE24" s="1">
        <v>3</v>
      </c>
      <c r="AF24" s="1">
        <v>1006</v>
      </c>
      <c r="AG24" s="1">
        <v>3</v>
      </c>
      <c r="AH24" s="1">
        <v>4</v>
      </c>
      <c r="AI24" s="1">
        <v>42</v>
      </c>
      <c r="AJ24" s="1">
        <v>10</v>
      </c>
      <c r="AK24" s="1">
        <v>3</v>
      </c>
      <c r="AL24" s="1">
        <v>72</v>
      </c>
      <c r="AM24" s="1">
        <v>4</v>
      </c>
      <c r="AN24" s="1">
        <v>1</v>
      </c>
    </row>
    <row r="25" spans="1:40" x14ac:dyDescent="0.35">
      <c r="A25" s="7">
        <v>2021</v>
      </c>
      <c r="B25" t="s">
        <v>295</v>
      </c>
      <c r="C25" s="10">
        <v>510</v>
      </c>
      <c r="D25">
        <v>1</v>
      </c>
      <c r="G25">
        <v>1</v>
      </c>
      <c r="H25">
        <v>39</v>
      </c>
      <c r="J25">
        <v>8</v>
      </c>
      <c r="L25">
        <v>1</v>
      </c>
      <c r="M25">
        <v>1</v>
      </c>
      <c r="N25">
        <v>18</v>
      </c>
      <c r="O25">
        <v>212</v>
      </c>
      <c r="Q25">
        <v>5</v>
      </c>
      <c r="R25">
        <v>3</v>
      </c>
      <c r="T25">
        <v>1</v>
      </c>
      <c r="V25">
        <v>8</v>
      </c>
      <c r="Z25">
        <v>3</v>
      </c>
      <c r="AC25">
        <v>3</v>
      </c>
      <c r="AF25">
        <v>175</v>
      </c>
      <c r="AI25">
        <v>9</v>
      </c>
      <c r="AL25">
        <v>22</v>
      </c>
    </row>
    <row r="26" spans="1:40" x14ac:dyDescent="0.35">
      <c r="A26" s="7">
        <v>2021</v>
      </c>
      <c r="B26" t="s">
        <v>299</v>
      </c>
      <c r="C26" s="10">
        <v>6</v>
      </c>
      <c r="H26">
        <v>1</v>
      </c>
      <c r="Q26">
        <v>1</v>
      </c>
      <c r="V26">
        <v>1</v>
      </c>
      <c r="AC26">
        <v>1</v>
      </c>
      <c r="AF26">
        <v>1</v>
      </c>
      <c r="AL26">
        <v>1</v>
      </c>
    </row>
    <row r="27" spans="1:40" x14ac:dyDescent="0.35">
      <c r="A27" s="7">
        <v>2021</v>
      </c>
      <c r="B27" t="s">
        <v>297</v>
      </c>
      <c r="C27" s="10">
        <v>10</v>
      </c>
      <c r="Q27">
        <v>1</v>
      </c>
      <c r="AC27">
        <v>2</v>
      </c>
      <c r="AF27">
        <v>6</v>
      </c>
      <c r="AL27">
        <v>1</v>
      </c>
    </row>
    <row r="28" spans="1:40" x14ac:dyDescent="0.35">
      <c r="A28" s="7">
        <v>2021</v>
      </c>
      <c r="B28" t="s">
        <v>296</v>
      </c>
      <c r="C28" s="10">
        <v>102</v>
      </c>
      <c r="H28">
        <v>12</v>
      </c>
      <c r="N28">
        <v>9</v>
      </c>
      <c r="O28">
        <v>15</v>
      </c>
      <c r="Q28">
        <v>1</v>
      </c>
      <c r="V28">
        <v>4</v>
      </c>
      <c r="AC28">
        <v>2</v>
      </c>
      <c r="AF28">
        <v>47</v>
      </c>
      <c r="AL28">
        <v>12</v>
      </c>
    </row>
    <row r="29" spans="1:40" s="1" customFormat="1" x14ac:dyDescent="0.35">
      <c r="A29" s="7">
        <v>2022</v>
      </c>
      <c r="B29" s="1" t="s">
        <v>294</v>
      </c>
      <c r="C29" s="9">
        <v>8201</v>
      </c>
      <c r="D29" s="1">
        <v>23</v>
      </c>
      <c r="E29" s="1">
        <v>19</v>
      </c>
      <c r="F29" s="1">
        <v>8</v>
      </c>
      <c r="G29" s="1">
        <v>41</v>
      </c>
      <c r="H29" s="1">
        <v>1045</v>
      </c>
      <c r="I29" s="1">
        <v>8</v>
      </c>
      <c r="J29" s="1">
        <v>289</v>
      </c>
      <c r="K29" s="1">
        <v>20</v>
      </c>
      <c r="L29" s="1">
        <v>20</v>
      </c>
      <c r="M29" s="1">
        <v>84</v>
      </c>
      <c r="N29" s="1">
        <v>314</v>
      </c>
      <c r="O29" s="1">
        <v>3210</v>
      </c>
      <c r="P29" s="1">
        <v>4</v>
      </c>
      <c r="Q29" s="1">
        <v>105</v>
      </c>
      <c r="R29" s="1">
        <v>65</v>
      </c>
      <c r="S29" s="1">
        <v>251</v>
      </c>
      <c r="T29" s="1">
        <v>56</v>
      </c>
      <c r="U29" s="1">
        <v>9</v>
      </c>
      <c r="V29" s="1">
        <v>94</v>
      </c>
      <c r="W29" s="1">
        <v>41</v>
      </c>
      <c r="X29" s="1">
        <v>17</v>
      </c>
      <c r="Y29" s="1">
        <v>9</v>
      </c>
      <c r="Z29" s="1">
        <v>142</v>
      </c>
      <c r="AA29" s="1">
        <v>16</v>
      </c>
      <c r="AB29" s="1">
        <v>52</v>
      </c>
      <c r="AC29" s="1">
        <v>143</v>
      </c>
      <c r="AD29" s="1">
        <v>15</v>
      </c>
      <c r="AE29" s="1">
        <v>20</v>
      </c>
      <c r="AF29" s="1">
        <v>1683</v>
      </c>
      <c r="AG29" s="1">
        <v>8</v>
      </c>
      <c r="AH29" s="1">
        <v>130</v>
      </c>
      <c r="AI29" s="1">
        <v>102</v>
      </c>
      <c r="AJ29" s="1">
        <v>12</v>
      </c>
      <c r="AK29" s="1">
        <v>5</v>
      </c>
      <c r="AL29" s="1">
        <v>106</v>
      </c>
      <c r="AM29" s="1">
        <v>30</v>
      </c>
      <c r="AN29" s="1">
        <v>5</v>
      </c>
    </row>
    <row r="30" spans="1:40" x14ac:dyDescent="0.35">
      <c r="A30" s="7">
        <v>2022</v>
      </c>
      <c r="B30" t="s">
        <v>295</v>
      </c>
      <c r="C30" s="10">
        <v>1067</v>
      </c>
      <c r="E30">
        <v>1</v>
      </c>
      <c r="G30">
        <v>5</v>
      </c>
      <c r="H30">
        <v>146</v>
      </c>
      <c r="J30">
        <v>39</v>
      </c>
      <c r="L30">
        <v>4</v>
      </c>
      <c r="M30">
        <v>4</v>
      </c>
      <c r="N30">
        <v>48</v>
      </c>
      <c r="O30">
        <v>273</v>
      </c>
      <c r="P30">
        <v>1</v>
      </c>
      <c r="Q30">
        <v>22</v>
      </c>
      <c r="R30">
        <v>2</v>
      </c>
      <c r="S30">
        <v>24</v>
      </c>
      <c r="T30">
        <v>1</v>
      </c>
      <c r="V30">
        <v>4</v>
      </c>
      <c r="W30">
        <v>1</v>
      </c>
      <c r="X30">
        <v>1</v>
      </c>
      <c r="Y30">
        <v>1</v>
      </c>
      <c r="Z30">
        <v>49</v>
      </c>
      <c r="AB30">
        <v>1</v>
      </c>
      <c r="AC30">
        <v>14</v>
      </c>
      <c r="AD30">
        <v>1</v>
      </c>
      <c r="AF30">
        <v>348</v>
      </c>
      <c r="AH30">
        <v>27</v>
      </c>
      <c r="AI30">
        <v>11</v>
      </c>
      <c r="AJ30">
        <v>1</v>
      </c>
      <c r="AK30">
        <v>1</v>
      </c>
      <c r="AL30">
        <v>37</v>
      </c>
    </row>
    <row r="31" spans="1:40" x14ac:dyDescent="0.35">
      <c r="A31" s="7">
        <v>2022</v>
      </c>
      <c r="B31" t="s">
        <v>299</v>
      </c>
      <c r="C31" s="10">
        <v>37</v>
      </c>
      <c r="J31">
        <v>2</v>
      </c>
      <c r="N31">
        <v>1</v>
      </c>
      <c r="S31">
        <v>8</v>
      </c>
      <c r="V31">
        <v>3</v>
      </c>
      <c r="AC31">
        <v>5</v>
      </c>
      <c r="AG31">
        <v>1</v>
      </c>
      <c r="AH31">
        <v>14</v>
      </c>
      <c r="AL31">
        <v>3</v>
      </c>
    </row>
    <row r="32" spans="1:40" x14ac:dyDescent="0.35">
      <c r="A32" s="7">
        <v>2022</v>
      </c>
      <c r="B32" t="s">
        <v>297</v>
      </c>
      <c r="C32" s="10">
        <v>63</v>
      </c>
      <c r="H32">
        <v>34</v>
      </c>
      <c r="J32">
        <v>3</v>
      </c>
      <c r="N32">
        <v>3</v>
      </c>
      <c r="O32">
        <v>3</v>
      </c>
      <c r="Q32">
        <v>1</v>
      </c>
      <c r="S32">
        <v>2</v>
      </c>
      <c r="V32">
        <v>1</v>
      </c>
      <c r="AF32">
        <v>11</v>
      </c>
      <c r="AH32">
        <v>4</v>
      </c>
      <c r="AL32">
        <v>1</v>
      </c>
    </row>
    <row r="33" spans="1:40" x14ac:dyDescent="0.35">
      <c r="A33" s="7">
        <v>2022</v>
      </c>
      <c r="B33" t="s">
        <v>296</v>
      </c>
      <c r="C33" s="10">
        <v>189</v>
      </c>
      <c r="G33">
        <v>1</v>
      </c>
      <c r="H33">
        <v>20</v>
      </c>
      <c r="J33">
        <v>10</v>
      </c>
      <c r="L33">
        <v>4</v>
      </c>
      <c r="N33">
        <v>20</v>
      </c>
      <c r="O33">
        <v>29</v>
      </c>
      <c r="Q33">
        <v>3</v>
      </c>
      <c r="S33">
        <v>8</v>
      </c>
      <c r="V33">
        <v>3</v>
      </c>
      <c r="W33">
        <v>1</v>
      </c>
      <c r="X33">
        <v>1</v>
      </c>
      <c r="Z33">
        <v>9</v>
      </c>
      <c r="AB33">
        <v>1</v>
      </c>
      <c r="AC33">
        <v>6</v>
      </c>
      <c r="AF33">
        <v>54</v>
      </c>
      <c r="AH33">
        <v>4</v>
      </c>
      <c r="AL33">
        <v>15</v>
      </c>
    </row>
    <row r="34" spans="1:40" s="1" customFormat="1" x14ac:dyDescent="0.35">
      <c r="A34" s="7">
        <v>2023</v>
      </c>
      <c r="B34" s="1" t="s">
        <v>294</v>
      </c>
      <c r="C34" s="9">
        <v>9155</v>
      </c>
      <c r="D34" s="1">
        <v>17</v>
      </c>
      <c r="E34" s="1">
        <v>19</v>
      </c>
      <c r="F34" s="1">
        <v>4</v>
      </c>
      <c r="G34" s="1">
        <v>42</v>
      </c>
      <c r="H34" s="1">
        <v>1048</v>
      </c>
      <c r="I34" s="1">
        <v>41</v>
      </c>
      <c r="J34" s="1">
        <v>198</v>
      </c>
      <c r="K34" s="1">
        <v>6</v>
      </c>
      <c r="L34" s="1">
        <v>29</v>
      </c>
      <c r="M34" s="1">
        <v>64</v>
      </c>
      <c r="N34" s="1">
        <v>345</v>
      </c>
      <c r="O34" s="1">
        <v>3482</v>
      </c>
      <c r="P34" s="1">
        <v>20</v>
      </c>
      <c r="Q34" s="1">
        <v>43</v>
      </c>
      <c r="R34" s="1">
        <v>67</v>
      </c>
      <c r="S34" s="1">
        <v>86</v>
      </c>
      <c r="T34" s="1">
        <v>19</v>
      </c>
      <c r="U34" s="1">
        <v>25</v>
      </c>
      <c r="V34" s="1">
        <v>43</v>
      </c>
      <c r="W34" s="1">
        <v>63</v>
      </c>
      <c r="X34" s="1">
        <v>7</v>
      </c>
      <c r="Y34" s="1">
        <v>5</v>
      </c>
      <c r="Z34" s="1">
        <v>48</v>
      </c>
      <c r="AA34" s="1">
        <v>16</v>
      </c>
      <c r="AB34" s="1">
        <v>29</v>
      </c>
      <c r="AC34" s="1">
        <v>161</v>
      </c>
      <c r="AD34" s="1">
        <v>5</v>
      </c>
      <c r="AE34" s="1">
        <v>26</v>
      </c>
      <c r="AF34" s="1">
        <v>2665</v>
      </c>
      <c r="AG34" s="1">
        <v>8</v>
      </c>
      <c r="AH34" s="1">
        <v>61</v>
      </c>
      <c r="AI34" s="1">
        <v>113</v>
      </c>
      <c r="AJ34" s="1">
        <v>15</v>
      </c>
      <c r="AK34" s="1">
        <v>7</v>
      </c>
      <c r="AL34" s="1">
        <v>314</v>
      </c>
      <c r="AM34" s="1">
        <v>8</v>
      </c>
      <c r="AN34" s="1">
        <v>6</v>
      </c>
    </row>
    <row r="35" spans="1:40" x14ac:dyDescent="0.35">
      <c r="A35" s="7">
        <v>2023</v>
      </c>
      <c r="B35" t="s">
        <v>295</v>
      </c>
      <c r="C35" s="10">
        <v>1270</v>
      </c>
      <c r="E35">
        <v>1</v>
      </c>
      <c r="G35">
        <v>3</v>
      </c>
      <c r="H35">
        <v>194</v>
      </c>
      <c r="I35">
        <v>2</v>
      </c>
      <c r="J35">
        <v>40</v>
      </c>
      <c r="L35">
        <v>2</v>
      </c>
      <c r="M35">
        <v>4</v>
      </c>
      <c r="N35">
        <v>55</v>
      </c>
      <c r="O35">
        <v>349</v>
      </c>
      <c r="Q35">
        <v>5</v>
      </c>
      <c r="R35">
        <v>2</v>
      </c>
      <c r="S35">
        <v>10</v>
      </c>
      <c r="T35">
        <v>1</v>
      </c>
      <c r="U35">
        <v>3</v>
      </c>
      <c r="V35">
        <v>1</v>
      </c>
      <c r="W35">
        <v>6</v>
      </c>
      <c r="Y35">
        <v>1</v>
      </c>
      <c r="Z35">
        <v>11</v>
      </c>
      <c r="AB35">
        <v>2</v>
      </c>
      <c r="AC35">
        <v>15</v>
      </c>
      <c r="AD35">
        <v>1</v>
      </c>
      <c r="AF35">
        <v>433</v>
      </c>
      <c r="AH35">
        <v>4</v>
      </c>
      <c r="AI35">
        <v>20</v>
      </c>
      <c r="AJ35">
        <v>1</v>
      </c>
      <c r="AK35">
        <v>1</v>
      </c>
      <c r="AL35">
        <v>102</v>
      </c>
      <c r="AN35">
        <v>1</v>
      </c>
    </row>
    <row r="36" spans="1:40" x14ac:dyDescent="0.35">
      <c r="A36" s="7">
        <v>2023</v>
      </c>
      <c r="B36" t="s">
        <v>299</v>
      </c>
      <c r="C36" s="10">
        <v>12</v>
      </c>
      <c r="H36">
        <v>3</v>
      </c>
      <c r="J36">
        <v>2</v>
      </c>
      <c r="M36">
        <v>1</v>
      </c>
      <c r="N36">
        <v>1</v>
      </c>
      <c r="O36">
        <v>2</v>
      </c>
      <c r="AE36">
        <v>2</v>
      </c>
      <c r="AF36">
        <v>1</v>
      </c>
    </row>
    <row r="37" spans="1:40" x14ac:dyDescent="0.35">
      <c r="A37" s="7">
        <v>2023</v>
      </c>
      <c r="B37" t="s">
        <v>297</v>
      </c>
      <c r="C37" s="10">
        <v>56</v>
      </c>
      <c r="G37">
        <v>1</v>
      </c>
      <c r="H37">
        <v>10</v>
      </c>
      <c r="J37">
        <v>1</v>
      </c>
      <c r="M37">
        <v>2</v>
      </c>
      <c r="N37">
        <v>3</v>
      </c>
      <c r="O37">
        <v>5</v>
      </c>
      <c r="Z37">
        <v>1</v>
      </c>
      <c r="AC37">
        <v>5</v>
      </c>
      <c r="AF37">
        <v>20</v>
      </c>
      <c r="AI37">
        <v>2</v>
      </c>
      <c r="AL37">
        <v>6</v>
      </c>
    </row>
    <row r="38" spans="1:40" x14ac:dyDescent="0.35">
      <c r="A38" s="7">
        <v>2023</v>
      </c>
      <c r="B38" t="s">
        <v>296</v>
      </c>
      <c r="C38" s="10">
        <v>227</v>
      </c>
      <c r="G38">
        <v>2</v>
      </c>
      <c r="H38">
        <v>38</v>
      </c>
      <c r="I38">
        <v>1</v>
      </c>
      <c r="J38">
        <v>6</v>
      </c>
      <c r="L38">
        <v>1</v>
      </c>
      <c r="M38">
        <v>2</v>
      </c>
      <c r="N38">
        <v>31</v>
      </c>
      <c r="O38">
        <v>50</v>
      </c>
      <c r="Q38">
        <v>1</v>
      </c>
      <c r="S38">
        <v>3</v>
      </c>
      <c r="T38">
        <v>2</v>
      </c>
      <c r="Y38">
        <v>1</v>
      </c>
      <c r="Z38">
        <v>1</v>
      </c>
      <c r="AC38">
        <v>2</v>
      </c>
      <c r="AF38">
        <v>50</v>
      </c>
      <c r="AH38">
        <v>1</v>
      </c>
      <c r="AI38">
        <v>3</v>
      </c>
      <c r="AL38">
        <v>32</v>
      </c>
    </row>
    <row r="39" spans="1:40" s="1" customFormat="1" x14ac:dyDescent="0.35">
      <c r="A39" s="7">
        <v>2024</v>
      </c>
      <c r="B39" s="1" t="s">
        <v>294</v>
      </c>
      <c r="C39" s="9">
        <v>10098</v>
      </c>
      <c r="D39" s="1">
        <v>20</v>
      </c>
      <c r="E39" s="1">
        <v>21</v>
      </c>
      <c r="F39" s="1">
        <v>8</v>
      </c>
      <c r="G39" s="1">
        <v>47</v>
      </c>
      <c r="H39" s="1">
        <v>1143</v>
      </c>
      <c r="I39" s="1">
        <v>27</v>
      </c>
      <c r="J39" s="1">
        <v>1072</v>
      </c>
      <c r="K39" s="1">
        <v>13</v>
      </c>
      <c r="L39" s="1">
        <v>64</v>
      </c>
      <c r="M39" s="1">
        <v>100</v>
      </c>
      <c r="N39" s="1">
        <v>382</v>
      </c>
      <c r="O39" s="1">
        <v>3103</v>
      </c>
      <c r="P39" s="1">
        <v>17</v>
      </c>
      <c r="Q39" s="1">
        <v>126</v>
      </c>
      <c r="R39" s="1">
        <v>76</v>
      </c>
      <c r="S39" s="1">
        <v>64</v>
      </c>
      <c r="T39" s="1">
        <v>41</v>
      </c>
      <c r="U39" s="1">
        <v>26</v>
      </c>
      <c r="V39" s="1">
        <v>127</v>
      </c>
      <c r="W39" s="1">
        <v>58</v>
      </c>
      <c r="X39" s="1">
        <v>24</v>
      </c>
      <c r="Y39" s="1">
        <v>8</v>
      </c>
      <c r="Z39" s="1">
        <v>158</v>
      </c>
      <c r="AA39" s="1">
        <v>10</v>
      </c>
      <c r="AB39" s="1">
        <v>49</v>
      </c>
      <c r="AC39" s="1">
        <v>72</v>
      </c>
      <c r="AD39" s="1">
        <v>13</v>
      </c>
      <c r="AE39" s="1">
        <v>39</v>
      </c>
      <c r="AF39" s="1">
        <v>2613</v>
      </c>
      <c r="AG39" s="1">
        <v>8</v>
      </c>
      <c r="AH39" s="1">
        <v>41</v>
      </c>
      <c r="AI39" s="1">
        <v>115</v>
      </c>
      <c r="AJ39" s="1">
        <v>75</v>
      </c>
      <c r="AK39" s="1">
        <v>10</v>
      </c>
      <c r="AL39" s="1">
        <v>301</v>
      </c>
      <c r="AM39" s="1">
        <v>24</v>
      </c>
      <c r="AN39" s="1">
        <v>3</v>
      </c>
    </row>
    <row r="40" spans="1:40" x14ac:dyDescent="0.35">
      <c r="A40" s="7">
        <v>2024</v>
      </c>
      <c r="B40" t="s">
        <v>295</v>
      </c>
      <c r="C40" s="10">
        <v>1309</v>
      </c>
      <c r="E40">
        <v>3</v>
      </c>
      <c r="G40">
        <v>4</v>
      </c>
      <c r="H40">
        <v>253</v>
      </c>
      <c r="I40">
        <v>2</v>
      </c>
      <c r="J40">
        <v>64</v>
      </c>
      <c r="L40">
        <v>8</v>
      </c>
      <c r="M40">
        <v>5</v>
      </c>
      <c r="N40">
        <v>53</v>
      </c>
      <c r="O40">
        <v>289</v>
      </c>
      <c r="Q40">
        <v>15</v>
      </c>
      <c r="R40">
        <v>2</v>
      </c>
      <c r="S40">
        <v>5</v>
      </c>
      <c r="T40">
        <v>3</v>
      </c>
      <c r="U40">
        <v>2</v>
      </c>
      <c r="V40">
        <v>15</v>
      </c>
      <c r="W40">
        <v>1</v>
      </c>
      <c r="X40">
        <v>1</v>
      </c>
      <c r="Z40">
        <v>37</v>
      </c>
      <c r="AB40">
        <v>1</v>
      </c>
      <c r="AC40">
        <v>5</v>
      </c>
      <c r="AD40">
        <v>3</v>
      </c>
      <c r="AE40">
        <v>1</v>
      </c>
      <c r="AF40">
        <v>400</v>
      </c>
      <c r="AH40">
        <v>1</v>
      </c>
      <c r="AI40">
        <v>17</v>
      </c>
      <c r="AJ40">
        <v>6</v>
      </c>
      <c r="AL40">
        <v>112</v>
      </c>
      <c r="AM40">
        <v>1</v>
      </c>
    </row>
    <row r="41" spans="1:40" x14ac:dyDescent="0.35">
      <c r="A41" s="7">
        <v>2024</v>
      </c>
      <c r="B41" t="s">
        <v>299</v>
      </c>
      <c r="C41" s="10">
        <v>23</v>
      </c>
      <c r="H41">
        <v>6</v>
      </c>
      <c r="J41">
        <v>9</v>
      </c>
      <c r="S41">
        <v>5</v>
      </c>
      <c r="V41">
        <v>2</v>
      </c>
      <c r="Z41">
        <v>1</v>
      </c>
    </row>
    <row r="42" spans="1:40" x14ac:dyDescent="0.35">
      <c r="A42" s="7">
        <v>2024</v>
      </c>
      <c r="B42" t="s">
        <v>297</v>
      </c>
      <c r="C42" s="10">
        <v>35</v>
      </c>
      <c r="G42">
        <v>1</v>
      </c>
      <c r="H42">
        <v>3</v>
      </c>
      <c r="J42">
        <v>8</v>
      </c>
      <c r="N42">
        <v>7</v>
      </c>
      <c r="O42">
        <v>2</v>
      </c>
      <c r="T42">
        <v>1</v>
      </c>
      <c r="V42">
        <v>3</v>
      </c>
      <c r="Z42">
        <v>1</v>
      </c>
      <c r="AC42">
        <v>1</v>
      </c>
      <c r="AE42">
        <v>1</v>
      </c>
      <c r="AF42">
        <v>4</v>
      </c>
      <c r="AL42">
        <v>3</v>
      </c>
    </row>
    <row r="43" spans="1:40" x14ac:dyDescent="0.35">
      <c r="A43" s="7">
        <v>2024</v>
      </c>
      <c r="B43" t="s">
        <v>296</v>
      </c>
      <c r="C43" s="10">
        <v>214</v>
      </c>
      <c r="G43">
        <v>3</v>
      </c>
      <c r="H43">
        <v>55</v>
      </c>
      <c r="I43">
        <v>1</v>
      </c>
      <c r="J43">
        <v>11</v>
      </c>
      <c r="L43">
        <v>2</v>
      </c>
      <c r="M43">
        <v>2</v>
      </c>
      <c r="N43">
        <v>29</v>
      </c>
      <c r="O43">
        <v>30</v>
      </c>
      <c r="Q43">
        <v>2</v>
      </c>
      <c r="R43">
        <v>1</v>
      </c>
      <c r="S43">
        <v>2</v>
      </c>
      <c r="T43">
        <v>3</v>
      </c>
      <c r="U43">
        <v>1</v>
      </c>
      <c r="V43">
        <v>8</v>
      </c>
      <c r="X43">
        <v>1</v>
      </c>
      <c r="Z43">
        <v>4</v>
      </c>
      <c r="AC43">
        <v>1</v>
      </c>
      <c r="AD43">
        <v>2</v>
      </c>
      <c r="AE43">
        <v>1</v>
      </c>
      <c r="AF43">
        <v>27</v>
      </c>
      <c r="AH43">
        <v>1</v>
      </c>
      <c r="AI43">
        <v>1</v>
      </c>
      <c r="AJ43">
        <v>3</v>
      </c>
      <c r="AL43">
        <v>23</v>
      </c>
      <c r="AM43">
        <v>1</v>
      </c>
    </row>
    <row r="44" spans="1:40" s="1" customFormat="1" x14ac:dyDescent="0.35">
      <c r="C44" s="9"/>
    </row>
    <row r="45" spans="1:40" x14ac:dyDescent="0.35">
      <c r="C45" s="10"/>
    </row>
    <row r="46" spans="1:40" x14ac:dyDescent="0.35">
      <c r="C46" s="10"/>
    </row>
    <row r="47" spans="1:40" x14ac:dyDescent="0.35">
      <c r="C47" s="10"/>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8E8F-B6CC-4D37-AFCF-6CA7DF0FC7CE}">
  <dimension ref="A1:AQ376"/>
  <sheetViews>
    <sheetView workbookViewId="0">
      <pane xSplit="4" ySplit="3" topLeftCell="E4" activePane="bottomRight" state="frozen"/>
      <selection pane="topRight" activeCell="E1" sqref="E1"/>
      <selection pane="bottomLeft" activeCell="A4" sqref="A4"/>
      <selection pane="bottomRight" activeCell="L24" sqref="L24"/>
    </sheetView>
  </sheetViews>
  <sheetFormatPr defaultRowHeight="14.5" x14ac:dyDescent="0.35"/>
  <sheetData>
    <row r="1" spans="1:42" x14ac:dyDescent="0.35">
      <c r="A1" s="6" t="s">
        <v>0</v>
      </c>
    </row>
    <row r="2" spans="1:42" x14ac:dyDescent="0.35">
      <c r="D2" s="6" t="s">
        <v>41</v>
      </c>
    </row>
    <row r="3" spans="1:42" s="13" customFormat="1" x14ac:dyDescent="0.35">
      <c r="A3" s="13" t="s">
        <v>1</v>
      </c>
      <c r="B3" s="13" t="s">
        <v>44</v>
      </c>
      <c r="C3" s="13" t="s">
        <v>2</v>
      </c>
      <c r="D3" s="13" t="s">
        <v>42</v>
      </c>
      <c r="E3" s="13" t="s">
        <v>61</v>
      </c>
      <c r="F3" s="13" t="s">
        <v>40</v>
      </c>
      <c r="G3" s="13" t="s">
        <v>13</v>
      </c>
      <c r="H3" s="13" t="s">
        <v>35</v>
      </c>
      <c r="I3" s="13" t="s">
        <v>22</v>
      </c>
      <c r="J3" s="13" t="s">
        <v>6</v>
      </c>
      <c r="K3" s="13" t="s">
        <v>25</v>
      </c>
      <c r="L3" s="13" t="s">
        <v>7</v>
      </c>
      <c r="M3" s="13" t="s">
        <v>38</v>
      </c>
      <c r="N3" s="13" t="s">
        <v>19</v>
      </c>
      <c r="O3" s="13" t="s">
        <v>21</v>
      </c>
      <c r="P3" s="13" t="s">
        <v>11</v>
      </c>
      <c r="Q3" s="13" t="s">
        <v>4</v>
      </c>
      <c r="R3" s="13" t="s">
        <v>36</v>
      </c>
      <c r="S3" s="13" t="s">
        <v>12</v>
      </c>
      <c r="T3" s="13" t="s">
        <v>17</v>
      </c>
      <c r="U3" s="13" t="s">
        <v>15</v>
      </c>
      <c r="V3" s="13" t="s">
        <v>10</v>
      </c>
      <c r="W3" s="13" t="s">
        <v>24</v>
      </c>
      <c r="X3" s="13" t="s">
        <v>18</v>
      </c>
      <c r="Y3" s="13" t="s">
        <v>27</v>
      </c>
      <c r="Z3" s="13" t="s">
        <v>26</v>
      </c>
      <c r="AA3" s="13" t="s">
        <v>33</v>
      </c>
      <c r="AB3" s="13" t="s">
        <v>16</v>
      </c>
      <c r="AC3" s="13" t="s">
        <v>37</v>
      </c>
      <c r="AD3" s="13" t="s">
        <v>29</v>
      </c>
      <c r="AE3" s="13" t="s">
        <v>14</v>
      </c>
      <c r="AF3" s="13" t="s">
        <v>23</v>
      </c>
      <c r="AG3" s="13" t="s">
        <v>30</v>
      </c>
      <c r="AH3" s="13" t="s">
        <v>5</v>
      </c>
      <c r="AI3" s="13" t="s">
        <v>39</v>
      </c>
      <c r="AJ3" s="13" t="s">
        <v>28</v>
      </c>
      <c r="AK3" s="13" t="s">
        <v>9</v>
      </c>
      <c r="AL3" s="13" t="s">
        <v>20</v>
      </c>
      <c r="AM3" s="13" t="s">
        <v>32</v>
      </c>
      <c r="AN3" s="13" t="s">
        <v>8</v>
      </c>
      <c r="AO3" s="13" t="s">
        <v>31</v>
      </c>
      <c r="AP3" s="13" t="s">
        <v>34</v>
      </c>
    </row>
    <row r="4" spans="1:42" s="20" customFormat="1" x14ac:dyDescent="0.35">
      <c r="A4" s="20">
        <v>2018</v>
      </c>
      <c r="B4" s="20">
        <v>1</v>
      </c>
      <c r="C4" s="21">
        <v>45664</v>
      </c>
      <c r="D4" s="20" t="s">
        <v>302</v>
      </c>
      <c r="E4" s="22">
        <v>0</v>
      </c>
    </row>
    <row r="5" spans="1:42" s="15" customFormat="1" x14ac:dyDescent="0.35">
      <c r="A5" s="15">
        <v>2018</v>
      </c>
      <c r="B5" s="15">
        <v>2</v>
      </c>
      <c r="C5" s="16">
        <v>45671</v>
      </c>
      <c r="D5" s="15">
        <v>4</v>
      </c>
      <c r="E5" s="15">
        <f>E4+D5</f>
        <v>4</v>
      </c>
      <c r="P5" s="15">
        <v>4</v>
      </c>
    </row>
    <row r="6" spans="1:42" s="15" customFormat="1" x14ac:dyDescent="0.35">
      <c r="A6" s="15">
        <v>2018</v>
      </c>
      <c r="B6" s="15">
        <v>3</v>
      </c>
      <c r="C6" s="16">
        <v>45678</v>
      </c>
      <c r="D6" s="15">
        <v>6</v>
      </c>
      <c r="E6" s="15">
        <f t="shared" ref="E6:E55" si="0">E5+D6</f>
        <v>10</v>
      </c>
      <c r="L6" s="15">
        <v>1</v>
      </c>
      <c r="P6" s="15">
        <v>3</v>
      </c>
      <c r="AB6" s="15">
        <v>1</v>
      </c>
      <c r="AE6" s="15">
        <v>1</v>
      </c>
    </row>
    <row r="7" spans="1:42" s="15" customFormat="1" x14ac:dyDescent="0.35">
      <c r="A7" s="15">
        <v>2018</v>
      </c>
      <c r="B7" s="15">
        <v>4</v>
      </c>
      <c r="C7" s="16">
        <v>45685</v>
      </c>
      <c r="D7" s="15">
        <v>0</v>
      </c>
      <c r="E7" s="15">
        <f t="shared" si="0"/>
        <v>10</v>
      </c>
    </row>
    <row r="8" spans="1:42" s="15" customFormat="1" x14ac:dyDescent="0.35">
      <c r="A8" s="15">
        <v>2018</v>
      </c>
      <c r="B8" s="15">
        <v>5</v>
      </c>
      <c r="C8" s="16">
        <v>45692</v>
      </c>
      <c r="D8" s="17">
        <v>1</v>
      </c>
      <c r="E8" s="15">
        <f t="shared" si="0"/>
        <v>11</v>
      </c>
      <c r="AH8" s="15">
        <v>1</v>
      </c>
    </row>
    <row r="9" spans="1:42" s="15" customFormat="1" x14ac:dyDescent="0.35">
      <c r="A9" s="15">
        <v>2018</v>
      </c>
      <c r="B9" s="15">
        <v>6</v>
      </c>
      <c r="C9" s="16">
        <v>45699</v>
      </c>
      <c r="D9" s="17">
        <v>3</v>
      </c>
      <c r="E9" s="15">
        <f t="shared" si="0"/>
        <v>14</v>
      </c>
      <c r="Q9" s="15">
        <v>3</v>
      </c>
    </row>
    <row r="10" spans="1:42" s="15" customFormat="1" x14ac:dyDescent="0.35">
      <c r="A10" s="15">
        <v>2018</v>
      </c>
      <c r="B10" s="15">
        <v>7</v>
      </c>
      <c r="C10" s="16">
        <v>45706</v>
      </c>
      <c r="D10" s="17">
        <v>0</v>
      </c>
      <c r="E10" s="15">
        <f t="shared" si="0"/>
        <v>14</v>
      </c>
    </row>
    <row r="11" spans="1:42" s="15" customFormat="1" x14ac:dyDescent="0.35">
      <c r="A11" s="15">
        <v>2018</v>
      </c>
      <c r="B11" s="15">
        <v>8</v>
      </c>
      <c r="C11" s="16">
        <v>45713</v>
      </c>
      <c r="D11" s="17">
        <v>1</v>
      </c>
      <c r="E11" s="15">
        <f t="shared" si="0"/>
        <v>15</v>
      </c>
      <c r="AH11" s="15">
        <v>1</v>
      </c>
    </row>
    <row r="12" spans="1:42" s="15" customFormat="1" x14ac:dyDescent="0.35">
      <c r="A12" s="15">
        <v>2018</v>
      </c>
      <c r="B12" s="15">
        <v>9</v>
      </c>
      <c r="C12" s="16">
        <v>45720</v>
      </c>
      <c r="D12" s="17">
        <v>3</v>
      </c>
      <c r="E12" s="15">
        <f t="shared" si="0"/>
        <v>18</v>
      </c>
      <c r="P12" s="15">
        <v>2</v>
      </c>
      <c r="AB12" s="15">
        <v>1</v>
      </c>
    </row>
    <row r="13" spans="1:42" s="15" customFormat="1" x14ac:dyDescent="0.35">
      <c r="A13" s="15">
        <v>2018</v>
      </c>
      <c r="B13" s="15">
        <v>10</v>
      </c>
      <c r="C13" s="16">
        <v>45727</v>
      </c>
      <c r="D13" s="17">
        <v>0</v>
      </c>
      <c r="E13" s="15">
        <f t="shared" si="0"/>
        <v>18</v>
      </c>
    </row>
    <row r="14" spans="1:42" s="15" customFormat="1" x14ac:dyDescent="0.35">
      <c r="A14" s="15">
        <v>2018</v>
      </c>
      <c r="B14" s="15">
        <v>11</v>
      </c>
      <c r="C14" s="16">
        <v>45734</v>
      </c>
      <c r="D14" s="17">
        <v>0</v>
      </c>
      <c r="E14" s="15">
        <f t="shared" si="0"/>
        <v>18</v>
      </c>
    </row>
    <row r="15" spans="1:42" s="15" customFormat="1" x14ac:dyDescent="0.35">
      <c r="A15" s="15">
        <v>2018</v>
      </c>
      <c r="B15" s="15">
        <v>12</v>
      </c>
      <c r="C15" s="16">
        <v>45741</v>
      </c>
      <c r="D15" s="17">
        <v>6</v>
      </c>
      <c r="E15" s="15">
        <f t="shared" si="0"/>
        <v>24</v>
      </c>
      <c r="P15" s="15">
        <v>6</v>
      </c>
    </row>
    <row r="16" spans="1:42" s="15" customFormat="1" x14ac:dyDescent="0.35">
      <c r="A16" s="15">
        <v>2018</v>
      </c>
      <c r="B16" s="15">
        <v>13</v>
      </c>
      <c r="C16" s="16">
        <v>45748</v>
      </c>
      <c r="D16" s="17">
        <v>2</v>
      </c>
      <c r="E16" s="15">
        <f t="shared" si="0"/>
        <v>26</v>
      </c>
      <c r="F16" s="17">
        <v>1</v>
      </c>
      <c r="AH16" s="15">
        <v>1</v>
      </c>
    </row>
    <row r="17" spans="1:40" s="15" customFormat="1" x14ac:dyDescent="0.35">
      <c r="A17" s="15">
        <v>2018</v>
      </c>
      <c r="B17" s="15">
        <v>14</v>
      </c>
      <c r="C17" s="16">
        <v>45755</v>
      </c>
      <c r="D17" s="17">
        <v>1</v>
      </c>
      <c r="E17" s="15">
        <f t="shared" si="0"/>
        <v>27</v>
      </c>
      <c r="P17" s="15">
        <v>1</v>
      </c>
    </row>
    <row r="18" spans="1:40" s="15" customFormat="1" x14ac:dyDescent="0.35">
      <c r="A18" s="15">
        <v>2018</v>
      </c>
      <c r="B18" s="15">
        <v>15</v>
      </c>
      <c r="C18" s="16">
        <v>45762</v>
      </c>
      <c r="D18" s="17">
        <v>9</v>
      </c>
      <c r="E18" s="15">
        <f t="shared" si="0"/>
        <v>36</v>
      </c>
      <c r="Q18" s="15">
        <v>8</v>
      </c>
      <c r="AN18" s="15">
        <v>1</v>
      </c>
    </row>
    <row r="19" spans="1:40" s="15" customFormat="1" x14ac:dyDescent="0.35">
      <c r="A19" s="15">
        <v>2018</v>
      </c>
      <c r="B19" s="15">
        <v>16</v>
      </c>
      <c r="C19" s="16">
        <v>45769</v>
      </c>
      <c r="D19" s="17">
        <v>1</v>
      </c>
      <c r="E19" s="15">
        <f t="shared" si="0"/>
        <v>37</v>
      </c>
      <c r="Q19" s="15">
        <v>1</v>
      </c>
    </row>
    <row r="20" spans="1:40" s="15" customFormat="1" x14ac:dyDescent="0.35">
      <c r="A20" s="15">
        <v>2018</v>
      </c>
      <c r="B20" s="15">
        <v>17</v>
      </c>
      <c r="C20" s="16">
        <v>45776</v>
      </c>
      <c r="D20" s="17">
        <v>0</v>
      </c>
      <c r="E20" s="15">
        <f t="shared" si="0"/>
        <v>37</v>
      </c>
    </row>
    <row r="21" spans="1:40" s="15" customFormat="1" x14ac:dyDescent="0.35">
      <c r="A21" s="15">
        <v>2018</v>
      </c>
      <c r="B21" s="15">
        <v>18</v>
      </c>
      <c r="C21" s="16">
        <v>45783</v>
      </c>
      <c r="D21" s="17">
        <v>0</v>
      </c>
      <c r="E21" s="15">
        <f t="shared" si="0"/>
        <v>37</v>
      </c>
    </row>
    <row r="22" spans="1:40" s="15" customFormat="1" x14ac:dyDescent="0.35">
      <c r="A22" s="15">
        <v>2018</v>
      </c>
      <c r="B22" s="15">
        <v>19</v>
      </c>
      <c r="C22" s="16">
        <v>45790</v>
      </c>
      <c r="D22" s="17">
        <v>1</v>
      </c>
      <c r="E22" s="15">
        <f t="shared" si="0"/>
        <v>38</v>
      </c>
      <c r="AH22" s="15">
        <v>1</v>
      </c>
    </row>
    <row r="23" spans="1:40" s="15" customFormat="1" x14ac:dyDescent="0.35">
      <c r="A23" s="15">
        <v>2018</v>
      </c>
      <c r="B23" s="15">
        <v>20</v>
      </c>
      <c r="C23" s="16">
        <v>45797</v>
      </c>
      <c r="D23" s="17">
        <v>0</v>
      </c>
      <c r="E23" s="15">
        <f t="shared" si="0"/>
        <v>38</v>
      </c>
    </row>
    <row r="24" spans="1:40" s="15" customFormat="1" x14ac:dyDescent="0.35">
      <c r="A24" s="15">
        <v>2018</v>
      </c>
      <c r="B24" s="15">
        <v>21</v>
      </c>
      <c r="C24" s="16">
        <v>45804</v>
      </c>
      <c r="D24" s="17">
        <v>0</v>
      </c>
      <c r="E24" s="15">
        <f t="shared" si="0"/>
        <v>38</v>
      </c>
    </row>
    <row r="25" spans="1:40" s="15" customFormat="1" x14ac:dyDescent="0.35">
      <c r="A25" s="15">
        <v>2018</v>
      </c>
      <c r="B25" s="15">
        <v>22</v>
      </c>
      <c r="C25" s="16">
        <v>45811</v>
      </c>
      <c r="D25" s="17">
        <v>0</v>
      </c>
      <c r="E25" s="15">
        <f t="shared" si="0"/>
        <v>38</v>
      </c>
      <c r="Q25" s="15">
        <v>1</v>
      </c>
    </row>
    <row r="26" spans="1:40" s="15" customFormat="1" x14ac:dyDescent="0.35">
      <c r="A26" s="15">
        <v>2018</v>
      </c>
      <c r="B26" s="15">
        <v>23</v>
      </c>
      <c r="C26" s="16">
        <v>45818</v>
      </c>
      <c r="D26" s="17">
        <v>0</v>
      </c>
      <c r="E26" s="15">
        <f t="shared" si="0"/>
        <v>38</v>
      </c>
    </row>
    <row r="27" spans="1:40" s="15" customFormat="1" x14ac:dyDescent="0.35">
      <c r="A27" s="15">
        <v>2018</v>
      </c>
      <c r="B27" s="15">
        <v>24</v>
      </c>
      <c r="C27" s="16">
        <v>45825</v>
      </c>
      <c r="D27" s="17">
        <v>0</v>
      </c>
      <c r="E27" s="15">
        <f t="shared" si="0"/>
        <v>38</v>
      </c>
    </row>
    <row r="28" spans="1:40" s="15" customFormat="1" x14ac:dyDescent="0.35">
      <c r="A28" s="15">
        <v>2018</v>
      </c>
      <c r="B28" s="15">
        <v>25</v>
      </c>
      <c r="C28" s="16">
        <v>45832</v>
      </c>
      <c r="D28" s="17">
        <v>1</v>
      </c>
      <c r="E28" s="15">
        <f t="shared" si="0"/>
        <v>39</v>
      </c>
      <c r="Q28" s="15">
        <v>1</v>
      </c>
    </row>
    <row r="29" spans="1:40" s="15" customFormat="1" x14ac:dyDescent="0.35">
      <c r="A29" s="15">
        <v>2018</v>
      </c>
      <c r="B29" s="15">
        <v>26</v>
      </c>
      <c r="C29" s="16">
        <v>45839</v>
      </c>
      <c r="D29" s="17">
        <v>0</v>
      </c>
      <c r="E29" s="15">
        <f t="shared" si="0"/>
        <v>39</v>
      </c>
    </row>
    <row r="30" spans="1:40" s="15" customFormat="1" x14ac:dyDescent="0.35">
      <c r="A30" s="15">
        <v>2018</v>
      </c>
      <c r="B30" s="15">
        <v>27</v>
      </c>
      <c r="C30" s="16">
        <v>45846</v>
      </c>
      <c r="D30" s="17">
        <v>0</v>
      </c>
      <c r="E30" s="15">
        <f t="shared" si="0"/>
        <v>39</v>
      </c>
    </row>
    <row r="31" spans="1:40" s="15" customFormat="1" x14ac:dyDescent="0.35">
      <c r="A31" s="15">
        <v>2018</v>
      </c>
      <c r="B31" s="15">
        <v>28</v>
      </c>
      <c r="C31" s="16">
        <v>45853</v>
      </c>
      <c r="D31" s="17">
        <v>0</v>
      </c>
      <c r="E31" s="15">
        <f t="shared" si="0"/>
        <v>39</v>
      </c>
    </row>
    <row r="32" spans="1:40" s="15" customFormat="1" x14ac:dyDescent="0.35">
      <c r="A32" s="15">
        <v>2018</v>
      </c>
      <c r="B32" s="15">
        <v>29</v>
      </c>
      <c r="C32" s="16">
        <v>45860</v>
      </c>
      <c r="D32" s="17">
        <v>0</v>
      </c>
      <c r="E32" s="15">
        <f t="shared" si="0"/>
        <v>39</v>
      </c>
    </row>
    <row r="33" spans="1:34" s="15" customFormat="1" x14ac:dyDescent="0.35">
      <c r="A33" s="15">
        <v>2018</v>
      </c>
      <c r="B33" s="15">
        <v>30</v>
      </c>
      <c r="C33" s="16">
        <v>45867</v>
      </c>
      <c r="D33" s="17">
        <v>0</v>
      </c>
      <c r="E33" s="15">
        <f t="shared" si="0"/>
        <v>39</v>
      </c>
    </row>
    <row r="34" spans="1:34" s="15" customFormat="1" x14ac:dyDescent="0.35">
      <c r="A34" s="15">
        <v>2018</v>
      </c>
      <c r="B34" s="15">
        <v>31</v>
      </c>
      <c r="C34" s="16">
        <v>45874</v>
      </c>
      <c r="D34" s="17">
        <v>0</v>
      </c>
      <c r="E34" s="15">
        <f t="shared" si="0"/>
        <v>39</v>
      </c>
    </row>
    <row r="35" spans="1:34" s="15" customFormat="1" x14ac:dyDescent="0.35">
      <c r="A35" s="15">
        <v>2018</v>
      </c>
      <c r="B35" s="15">
        <v>32</v>
      </c>
      <c r="C35" s="16">
        <v>45881</v>
      </c>
      <c r="D35" s="17">
        <v>0</v>
      </c>
      <c r="E35" s="15">
        <f t="shared" si="0"/>
        <v>39</v>
      </c>
    </row>
    <row r="36" spans="1:34" s="15" customFormat="1" x14ac:dyDescent="0.35">
      <c r="A36" s="15">
        <v>2018</v>
      </c>
      <c r="B36" s="15">
        <v>33</v>
      </c>
      <c r="C36" s="16">
        <v>45888</v>
      </c>
      <c r="D36" s="17">
        <v>0</v>
      </c>
      <c r="E36" s="15">
        <f t="shared" si="0"/>
        <v>39</v>
      </c>
    </row>
    <row r="37" spans="1:34" s="15" customFormat="1" x14ac:dyDescent="0.35">
      <c r="A37" s="15">
        <v>2018</v>
      </c>
      <c r="B37" s="15">
        <v>34</v>
      </c>
      <c r="C37" s="16">
        <v>45895</v>
      </c>
      <c r="D37" s="17">
        <v>0</v>
      </c>
      <c r="E37" s="15">
        <f t="shared" si="0"/>
        <v>39</v>
      </c>
    </row>
    <row r="38" spans="1:34" s="15" customFormat="1" x14ac:dyDescent="0.35">
      <c r="A38" s="15">
        <v>2018</v>
      </c>
      <c r="B38" s="15">
        <v>35</v>
      </c>
      <c r="C38" s="16">
        <v>45902</v>
      </c>
      <c r="D38" s="17">
        <v>0</v>
      </c>
      <c r="E38" s="15">
        <f t="shared" si="0"/>
        <v>39</v>
      </c>
    </row>
    <row r="39" spans="1:34" s="15" customFormat="1" x14ac:dyDescent="0.35">
      <c r="A39" s="15">
        <v>2018</v>
      </c>
      <c r="B39" s="15">
        <v>36</v>
      </c>
      <c r="C39" s="16">
        <v>45909</v>
      </c>
      <c r="D39" s="17">
        <v>0</v>
      </c>
      <c r="E39" s="15">
        <f t="shared" si="0"/>
        <v>39</v>
      </c>
    </row>
    <row r="40" spans="1:34" s="15" customFormat="1" x14ac:dyDescent="0.35">
      <c r="A40" s="15">
        <v>2018</v>
      </c>
      <c r="B40" s="15">
        <v>37</v>
      </c>
      <c r="C40" s="16">
        <v>45916</v>
      </c>
      <c r="D40" s="17">
        <v>0</v>
      </c>
      <c r="E40" s="15">
        <f t="shared" si="0"/>
        <v>39</v>
      </c>
    </row>
    <row r="41" spans="1:34" s="15" customFormat="1" x14ac:dyDescent="0.35">
      <c r="A41" s="15">
        <v>2018</v>
      </c>
      <c r="B41" s="15">
        <v>38</v>
      </c>
      <c r="C41" s="16">
        <v>45923</v>
      </c>
      <c r="D41" s="17">
        <v>0</v>
      </c>
      <c r="E41" s="15">
        <f t="shared" si="0"/>
        <v>39</v>
      </c>
    </row>
    <row r="42" spans="1:34" s="15" customFormat="1" x14ac:dyDescent="0.35">
      <c r="A42" s="15">
        <v>2018</v>
      </c>
      <c r="B42" s="15">
        <v>39</v>
      </c>
      <c r="C42" s="16">
        <v>45930</v>
      </c>
      <c r="D42" s="17">
        <v>0</v>
      </c>
      <c r="E42" s="15">
        <f t="shared" si="0"/>
        <v>39</v>
      </c>
    </row>
    <row r="43" spans="1:34" s="15" customFormat="1" x14ac:dyDescent="0.35">
      <c r="A43" s="15">
        <v>2018</v>
      </c>
      <c r="B43" s="15">
        <v>40</v>
      </c>
      <c r="C43" s="16">
        <v>45937</v>
      </c>
      <c r="D43" s="17">
        <v>1</v>
      </c>
      <c r="E43" s="15">
        <f t="shared" si="0"/>
        <v>40</v>
      </c>
      <c r="Q43" s="15">
        <v>1</v>
      </c>
    </row>
    <row r="44" spans="1:34" s="15" customFormat="1" x14ac:dyDescent="0.35">
      <c r="A44" s="15">
        <v>2018</v>
      </c>
      <c r="B44" s="15">
        <v>41</v>
      </c>
      <c r="C44" s="16">
        <v>45944</v>
      </c>
      <c r="D44" s="17">
        <v>0</v>
      </c>
      <c r="E44" s="15">
        <f t="shared" si="0"/>
        <v>40</v>
      </c>
    </row>
    <row r="45" spans="1:34" s="15" customFormat="1" x14ac:dyDescent="0.35">
      <c r="A45" s="15">
        <v>2018</v>
      </c>
      <c r="B45" s="15">
        <v>42</v>
      </c>
      <c r="C45" s="16">
        <v>45951</v>
      </c>
      <c r="D45" s="17">
        <v>1</v>
      </c>
      <c r="E45" s="15">
        <f t="shared" si="0"/>
        <v>41</v>
      </c>
      <c r="AH45" s="15">
        <v>1</v>
      </c>
    </row>
    <row r="46" spans="1:34" s="15" customFormat="1" x14ac:dyDescent="0.35">
      <c r="A46" s="15">
        <v>2018</v>
      </c>
      <c r="B46" s="15">
        <v>43</v>
      </c>
      <c r="C46" s="16">
        <v>45958</v>
      </c>
      <c r="D46" s="17">
        <v>0</v>
      </c>
      <c r="E46" s="15">
        <f t="shared" si="0"/>
        <v>41</v>
      </c>
    </row>
    <row r="47" spans="1:34" s="15" customFormat="1" x14ac:dyDescent="0.35">
      <c r="A47" s="15">
        <v>2018</v>
      </c>
      <c r="B47" s="15">
        <v>44</v>
      </c>
      <c r="C47" s="16">
        <v>45965</v>
      </c>
      <c r="D47" s="17">
        <v>1</v>
      </c>
      <c r="E47" s="15">
        <f t="shared" si="0"/>
        <v>42</v>
      </c>
      <c r="AH47" s="15">
        <v>1</v>
      </c>
    </row>
    <row r="48" spans="1:34" s="15" customFormat="1" x14ac:dyDescent="0.35">
      <c r="A48" s="15">
        <v>2018</v>
      </c>
      <c r="B48" s="15">
        <v>45</v>
      </c>
      <c r="C48" s="16">
        <v>45972</v>
      </c>
      <c r="D48" s="17">
        <v>1</v>
      </c>
      <c r="E48" s="15">
        <f t="shared" si="0"/>
        <v>43</v>
      </c>
      <c r="AH48" s="15">
        <v>1</v>
      </c>
    </row>
    <row r="49" spans="1:38" s="15" customFormat="1" x14ac:dyDescent="0.35">
      <c r="A49" s="15">
        <v>2018</v>
      </c>
      <c r="B49" s="15">
        <v>46</v>
      </c>
      <c r="C49" s="16">
        <v>45979</v>
      </c>
      <c r="D49" s="17">
        <v>0</v>
      </c>
      <c r="E49" s="15">
        <f t="shared" si="0"/>
        <v>43</v>
      </c>
    </row>
    <row r="50" spans="1:38" s="15" customFormat="1" x14ac:dyDescent="0.35">
      <c r="A50" s="15">
        <v>2018</v>
      </c>
      <c r="B50" s="15">
        <v>47</v>
      </c>
      <c r="C50" s="16">
        <v>45986</v>
      </c>
      <c r="D50" s="17">
        <v>1</v>
      </c>
      <c r="E50" s="15">
        <f t="shared" si="0"/>
        <v>44</v>
      </c>
      <c r="AH50" s="17">
        <v>1</v>
      </c>
    </row>
    <row r="51" spans="1:38" s="15" customFormat="1" x14ac:dyDescent="0.35">
      <c r="A51" s="15">
        <v>2018</v>
      </c>
      <c r="B51" s="15">
        <v>48</v>
      </c>
      <c r="C51" s="16">
        <v>45993</v>
      </c>
      <c r="D51" s="17">
        <v>0</v>
      </c>
      <c r="E51" s="15">
        <f t="shared" si="0"/>
        <v>44</v>
      </c>
    </row>
    <row r="52" spans="1:38" s="15" customFormat="1" x14ac:dyDescent="0.35">
      <c r="A52" s="17">
        <v>2018</v>
      </c>
      <c r="B52" s="17">
        <v>49</v>
      </c>
      <c r="C52" s="16">
        <v>46000</v>
      </c>
      <c r="D52" s="17"/>
    </row>
    <row r="53" spans="1:38" s="15" customFormat="1" x14ac:dyDescent="0.35">
      <c r="A53" s="15">
        <v>2018</v>
      </c>
      <c r="B53" s="15">
        <v>50</v>
      </c>
      <c r="C53" s="16">
        <v>46007</v>
      </c>
      <c r="D53" s="17">
        <v>1</v>
      </c>
      <c r="E53" s="15">
        <f>E51+D53</f>
        <v>45</v>
      </c>
    </row>
    <row r="54" spans="1:38" s="15" customFormat="1" x14ac:dyDescent="0.35">
      <c r="A54" s="15">
        <v>2018</v>
      </c>
      <c r="B54" s="15">
        <v>51</v>
      </c>
      <c r="C54" s="16">
        <v>46014</v>
      </c>
      <c r="D54" s="17">
        <v>0</v>
      </c>
      <c r="E54" s="15">
        <f t="shared" si="0"/>
        <v>45</v>
      </c>
    </row>
    <row r="55" spans="1:38" s="15" customFormat="1" x14ac:dyDescent="0.35">
      <c r="A55" s="15">
        <v>2018</v>
      </c>
      <c r="B55" s="15">
        <v>52</v>
      </c>
      <c r="C55" s="16">
        <v>46022</v>
      </c>
      <c r="D55" s="17">
        <v>0</v>
      </c>
      <c r="E55" s="15">
        <f t="shared" si="0"/>
        <v>45</v>
      </c>
    </row>
    <row r="56" spans="1:38" s="20" customFormat="1" x14ac:dyDescent="0.35">
      <c r="A56" s="20">
        <v>2019</v>
      </c>
      <c r="B56" s="20">
        <v>1</v>
      </c>
      <c r="C56" s="21">
        <v>45663</v>
      </c>
      <c r="D56" s="20">
        <v>0</v>
      </c>
      <c r="E56" s="18">
        <f>D56</f>
        <v>0</v>
      </c>
    </row>
    <row r="57" spans="1:38" s="15" customFormat="1" x14ac:dyDescent="0.35">
      <c r="A57" s="15">
        <v>2019</v>
      </c>
      <c r="B57" s="15">
        <v>2</v>
      </c>
      <c r="C57" s="16">
        <v>45670</v>
      </c>
      <c r="D57" s="15">
        <v>0</v>
      </c>
      <c r="E57" s="3">
        <f>D57+E56</f>
        <v>0</v>
      </c>
    </row>
    <row r="58" spans="1:38" s="15" customFormat="1" x14ac:dyDescent="0.35">
      <c r="A58" s="15">
        <v>2019</v>
      </c>
      <c r="B58" s="15">
        <v>3</v>
      </c>
      <c r="C58" s="16">
        <v>45677</v>
      </c>
      <c r="D58" s="15">
        <v>3</v>
      </c>
      <c r="E58" s="3">
        <f t="shared" ref="E58:E107" si="1">D58+E57</f>
        <v>3</v>
      </c>
      <c r="P58" s="15">
        <v>1</v>
      </c>
      <c r="AH58" s="15">
        <v>2</v>
      </c>
    </row>
    <row r="59" spans="1:38" s="15" customFormat="1" x14ac:dyDescent="0.35">
      <c r="A59" s="15">
        <v>2019</v>
      </c>
      <c r="B59" s="15">
        <v>4</v>
      </c>
      <c r="C59" s="16">
        <v>45684</v>
      </c>
      <c r="D59" s="17">
        <v>2</v>
      </c>
      <c r="E59" s="3">
        <f t="shared" si="1"/>
        <v>5</v>
      </c>
      <c r="Q59" s="15">
        <v>1</v>
      </c>
      <c r="S59" s="15">
        <v>1</v>
      </c>
    </row>
    <row r="60" spans="1:38" s="15" customFormat="1" x14ac:dyDescent="0.35">
      <c r="A60" s="15">
        <v>2019</v>
      </c>
      <c r="B60" s="15">
        <v>5</v>
      </c>
      <c r="C60" s="16">
        <v>45691</v>
      </c>
      <c r="D60" s="17">
        <v>4</v>
      </c>
      <c r="E60" s="3">
        <f t="shared" si="1"/>
        <v>9</v>
      </c>
      <c r="O60" s="15">
        <v>1</v>
      </c>
      <c r="Q60" s="15">
        <v>3</v>
      </c>
    </row>
    <row r="61" spans="1:38" s="15" customFormat="1" x14ac:dyDescent="0.35">
      <c r="A61" s="15">
        <v>2019</v>
      </c>
      <c r="B61" s="15">
        <v>6</v>
      </c>
      <c r="C61" s="16">
        <v>45698</v>
      </c>
      <c r="D61" s="17">
        <v>3</v>
      </c>
      <c r="E61" s="3">
        <f t="shared" si="1"/>
        <v>12</v>
      </c>
      <c r="J61" s="15">
        <v>1</v>
      </c>
      <c r="L61" s="15">
        <v>1</v>
      </c>
      <c r="AL61" s="15">
        <v>1</v>
      </c>
    </row>
    <row r="62" spans="1:38" s="15" customFormat="1" x14ac:dyDescent="0.35">
      <c r="A62" s="15">
        <v>2019</v>
      </c>
      <c r="B62" s="15">
        <v>7</v>
      </c>
      <c r="C62" s="16">
        <v>45705</v>
      </c>
      <c r="D62" s="17">
        <v>1</v>
      </c>
      <c r="E62" s="3">
        <f t="shared" si="1"/>
        <v>13</v>
      </c>
      <c r="AH62" s="15">
        <v>1</v>
      </c>
    </row>
    <row r="63" spans="1:38" s="15" customFormat="1" x14ac:dyDescent="0.35">
      <c r="A63" s="15">
        <v>2019</v>
      </c>
      <c r="B63" s="15">
        <v>8</v>
      </c>
      <c r="C63" s="16">
        <v>45712</v>
      </c>
      <c r="D63" s="17">
        <v>2</v>
      </c>
      <c r="E63" s="3">
        <f t="shared" si="1"/>
        <v>15</v>
      </c>
      <c r="Q63" s="15">
        <v>1</v>
      </c>
    </row>
    <row r="64" spans="1:38" s="15" customFormat="1" x14ac:dyDescent="0.35">
      <c r="A64" s="15">
        <v>2019</v>
      </c>
      <c r="B64" s="15">
        <v>9</v>
      </c>
      <c r="C64" s="16">
        <v>45719</v>
      </c>
      <c r="D64" s="17">
        <v>0</v>
      </c>
      <c r="E64" s="3">
        <f t="shared" si="1"/>
        <v>15</v>
      </c>
    </row>
    <row r="65" spans="1:37" s="15" customFormat="1" x14ac:dyDescent="0.35">
      <c r="A65" s="15">
        <v>2019</v>
      </c>
      <c r="B65" s="15">
        <v>10</v>
      </c>
      <c r="C65" s="16">
        <v>45726</v>
      </c>
      <c r="D65" s="17">
        <v>0</v>
      </c>
      <c r="E65" s="3">
        <f t="shared" si="1"/>
        <v>15</v>
      </c>
    </row>
    <row r="66" spans="1:37" s="15" customFormat="1" x14ac:dyDescent="0.35">
      <c r="A66" s="15">
        <v>2019</v>
      </c>
      <c r="B66" s="15">
        <v>11</v>
      </c>
      <c r="C66" s="16">
        <v>45733</v>
      </c>
      <c r="D66" s="17">
        <v>1</v>
      </c>
      <c r="E66" s="3">
        <f t="shared" si="1"/>
        <v>16</v>
      </c>
    </row>
    <row r="67" spans="1:37" s="15" customFormat="1" x14ac:dyDescent="0.35">
      <c r="A67" s="15">
        <v>2019</v>
      </c>
      <c r="B67" s="15">
        <v>12</v>
      </c>
      <c r="C67" s="16">
        <v>45740</v>
      </c>
      <c r="D67" s="17">
        <v>0</v>
      </c>
      <c r="E67" s="3">
        <f t="shared" si="1"/>
        <v>16</v>
      </c>
    </row>
    <row r="68" spans="1:37" s="15" customFormat="1" x14ac:dyDescent="0.35">
      <c r="A68" s="15">
        <v>2019</v>
      </c>
      <c r="B68" s="15">
        <v>13</v>
      </c>
      <c r="C68" s="16">
        <v>45747</v>
      </c>
      <c r="D68" s="17">
        <v>1</v>
      </c>
      <c r="E68" s="3">
        <f t="shared" si="1"/>
        <v>17</v>
      </c>
      <c r="AK68" s="15">
        <v>1</v>
      </c>
    </row>
    <row r="69" spans="1:37" s="15" customFormat="1" x14ac:dyDescent="0.35">
      <c r="A69" s="15">
        <v>2019</v>
      </c>
      <c r="B69" s="15">
        <v>14</v>
      </c>
      <c r="C69" s="16">
        <v>45754</v>
      </c>
      <c r="D69" s="17">
        <v>0</v>
      </c>
      <c r="E69" s="3">
        <f t="shared" si="1"/>
        <v>17</v>
      </c>
    </row>
    <row r="70" spans="1:37" s="15" customFormat="1" x14ac:dyDescent="0.35">
      <c r="A70" s="15">
        <v>2019</v>
      </c>
      <c r="B70" s="15">
        <v>15</v>
      </c>
      <c r="C70" s="16">
        <v>45761</v>
      </c>
      <c r="D70" s="17">
        <v>0</v>
      </c>
      <c r="E70" s="3">
        <f t="shared" si="1"/>
        <v>17</v>
      </c>
    </row>
    <row r="71" spans="1:37" s="15" customFormat="1" x14ac:dyDescent="0.35">
      <c r="A71" s="15">
        <v>2019</v>
      </c>
      <c r="B71" s="15">
        <v>16</v>
      </c>
      <c r="C71" s="16">
        <v>45768</v>
      </c>
      <c r="D71" s="17">
        <v>0</v>
      </c>
      <c r="E71" s="3">
        <f t="shared" si="1"/>
        <v>17</v>
      </c>
    </row>
    <row r="72" spans="1:37" s="15" customFormat="1" x14ac:dyDescent="0.35">
      <c r="A72" s="15">
        <v>2019</v>
      </c>
      <c r="B72" s="15">
        <v>17</v>
      </c>
      <c r="C72" s="16">
        <v>45775</v>
      </c>
      <c r="D72" s="17">
        <v>1</v>
      </c>
      <c r="E72" s="3">
        <f t="shared" si="1"/>
        <v>18</v>
      </c>
      <c r="AA72" s="15">
        <v>1</v>
      </c>
    </row>
    <row r="73" spans="1:37" s="15" customFormat="1" x14ac:dyDescent="0.35">
      <c r="A73" s="15">
        <v>2019</v>
      </c>
      <c r="B73" s="15">
        <v>18</v>
      </c>
      <c r="C73" s="16">
        <v>45782</v>
      </c>
      <c r="D73" s="17">
        <v>0</v>
      </c>
      <c r="E73" s="3">
        <f t="shared" si="1"/>
        <v>18</v>
      </c>
    </row>
    <row r="74" spans="1:37" s="15" customFormat="1" x14ac:dyDescent="0.35">
      <c r="A74" s="15">
        <v>2019</v>
      </c>
      <c r="B74" s="15">
        <v>19</v>
      </c>
      <c r="C74" s="16">
        <v>45789</v>
      </c>
      <c r="D74" s="17">
        <v>0</v>
      </c>
      <c r="E74" s="3">
        <f t="shared" si="1"/>
        <v>18</v>
      </c>
    </row>
    <row r="75" spans="1:37" s="15" customFormat="1" x14ac:dyDescent="0.35">
      <c r="A75" s="15">
        <v>2019</v>
      </c>
      <c r="B75" s="15">
        <v>20</v>
      </c>
      <c r="C75" s="16">
        <v>45796</v>
      </c>
      <c r="D75" s="17">
        <v>0</v>
      </c>
      <c r="E75" s="3">
        <f t="shared" si="1"/>
        <v>18</v>
      </c>
    </row>
    <row r="76" spans="1:37" s="15" customFormat="1" x14ac:dyDescent="0.35">
      <c r="A76" s="15">
        <v>2019</v>
      </c>
      <c r="B76" s="15">
        <v>21</v>
      </c>
      <c r="C76" s="16">
        <v>45803</v>
      </c>
      <c r="D76" s="17">
        <v>0</v>
      </c>
      <c r="E76" s="3">
        <f t="shared" si="1"/>
        <v>18</v>
      </c>
    </row>
    <row r="77" spans="1:37" s="15" customFormat="1" x14ac:dyDescent="0.35">
      <c r="A77" s="15">
        <v>2019</v>
      </c>
      <c r="B77" s="15">
        <v>22</v>
      </c>
      <c r="C77" s="16">
        <v>45810</v>
      </c>
      <c r="D77" s="17">
        <v>0</v>
      </c>
      <c r="E77" s="3">
        <f t="shared" si="1"/>
        <v>18</v>
      </c>
    </row>
    <row r="78" spans="1:37" s="15" customFormat="1" x14ac:dyDescent="0.35">
      <c r="A78" s="15">
        <v>2019</v>
      </c>
      <c r="B78" s="15">
        <v>23</v>
      </c>
      <c r="C78" s="16">
        <v>45817</v>
      </c>
      <c r="D78" s="17">
        <v>0</v>
      </c>
      <c r="E78" s="3">
        <f t="shared" si="1"/>
        <v>18</v>
      </c>
    </row>
    <row r="79" spans="1:37" s="15" customFormat="1" x14ac:dyDescent="0.35">
      <c r="A79" s="15">
        <v>2019</v>
      </c>
      <c r="B79" s="15">
        <v>24</v>
      </c>
      <c r="C79" s="16">
        <v>45824</v>
      </c>
      <c r="D79" s="17">
        <v>0</v>
      </c>
      <c r="E79" s="3">
        <f t="shared" si="1"/>
        <v>18</v>
      </c>
    </row>
    <row r="80" spans="1:37" s="15" customFormat="1" x14ac:dyDescent="0.35">
      <c r="A80" s="15">
        <v>2019</v>
      </c>
      <c r="B80" s="15">
        <v>25</v>
      </c>
      <c r="C80" s="16">
        <v>45831</v>
      </c>
      <c r="D80" s="17">
        <v>0</v>
      </c>
      <c r="E80" s="3">
        <f t="shared" si="1"/>
        <v>18</v>
      </c>
    </row>
    <row r="81" spans="1:34" s="15" customFormat="1" x14ac:dyDescent="0.35">
      <c r="A81" s="15">
        <v>2019</v>
      </c>
      <c r="B81" s="15">
        <v>26</v>
      </c>
      <c r="C81" s="16">
        <v>45838</v>
      </c>
      <c r="D81" s="17">
        <v>0</v>
      </c>
      <c r="E81" s="3">
        <f t="shared" si="1"/>
        <v>18</v>
      </c>
    </row>
    <row r="82" spans="1:34" s="15" customFormat="1" x14ac:dyDescent="0.35">
      <c r="A82" s="15">
        <v>2019</v>
      </c>
      <c r="B82" s="15">
        <v>27</v>
      </c>
      <c r="C82" s="16">
        <v>45845</v>
      </c>
      <c r="D82" s="17">
        <v>0</v>
      </c>
      <c r="E82" s="3">
        <f t="shared" si="1"/>
        <v>18</v>
      </c>
    </row>
    <row r="83" spans="1:34" s="15" customFormat="1" x14ac:dyDescent="0.35">
      <c r="A83" s="15">
        <v>2019</v>
      </c>
      <c r="B83" s="15">
        <v>28</v>
      </c>
      <c r="C83" s="16">
        <v>45852</v>
      </c>
      <c r="D83" s="17">
        <v>0</v>
      </c>
      <c r="E83" s="3">
        <f t="shared" si="1"/>
        <v>18</v>
      </c>
    </row>
    <row r="84" spans="1:34" s="15" customFormat="1" x14ac:dyDescent="0.35">
      <c r="A84" s="15">
        <v>2019</v>
      </c>
      <c r="B84" s="15">
        <v>29</v>
      </c>
      <c r="C84" s="16">
        <v>45859</v>
      </c>
      <c r="D84" s="17">
        <v>1</v>
      </c>
      <c r="E84" s="3">
        <v>17</v>
      </c>
      <c r="Q84" s="15">
        <v>1</v>
      </c>
    </row>
    <row r="85" spans="1:34" s="15" customFormat="1" x14ac:dyDescent="0.35">
      <c r="A85" s="15">
        <v>2019</v>
      </c>
      <c r="B85" s="15">
        <v>30</v>
      </c>
      <c r="C85" s="16">
        <v>45866</v>
      </c>
      <c r="D85" s="17">
        <v>1</v>
      </c>
      <c r="E85" s="3">
        <f t="shared" si="1"/>
        <v>18</v>
      </c>
      <c r="AH85" s="15">
        <v>1</v>
      </c>
    </row>
    <row r="86" spans="1:34" s="15" customFormat="1" x14ac:dyDescent="0.35">
      <c r="A86" s="15">
        <v>2019</v>
      </c>
      <c r="B86" s="15">
        <v>31</v>
      </c>
      <c r="C86" s="16">
        <v>45873</v>
      </c>
      <c r="D86" s="17">
        <v>0</v>
      </c>
      <c r="E86" s="3">
        <f t="shared" si="1"/>
        <v>18</v>
      </c>
    </row>
    <row r="87" spans="1:34" s="15" customFormat="1" x14ac:dyDescent="0.35">
      <c r="A87" s="15">
        <v>2019</v>
      </c>
      <c r="B87" s="15">
        <v>32</v>
      </c>
      <c r="C87" s="16">
        <v>45880</v>
      </c>
      <c r="D87" s="17">
        <v>0</v>
      </c>
      <c r="E87" s="3">
        <f t="shared" si="1"/>
        <v>18</v>
      </c>
    </row>
    <row r="88" spans="1:34" s="15" customFormat="1" x14ac:dyDescent="0.35">
      <c r="A88" s="15">
        <v>2019</v>
      </c>
      <c r="B88" s="15">
        <v>33</v>
      </c>
      <c r="C88" s="16">
        <v>45887</v>
      </c>
      <c r="D88" s="17">
        <v>0</v>
      </c>
      <c r="E88" s="3">
        <f t="shared" si="1"/>
        <v>18</v>
      </c>
    </row>
    <row r="89" spans="1:34" s="15" customFormat="1" x14ac:dyDescent="0.35">
      <c r="A89" s="15">
        <v>2019</v>
      </c>
      <c r="B89" s="15">
        <v>34</v>
      </c>
      <c r="C89" s="16">
        <v>45894</v>
      </c>
      <c r="D89" s="17">
        <v>0</v>
      </c>
      <c r="E89" s="3">
        <f t="shared" si="1"/>
        <v>18</v>
      </c>
    </row>
    <row r="90" spans="1:34" s="15" customFormat="1" x14ac:dyDescent="0.35">
      <c r="A90" s="15">
        <v>2019</v>
      </c>
      <c r="B90" s="15">
        <v>35</v>
      </c>
      <c r="C90" s="16">
        <v>45870</v>
      </c>
      <c r="D90" s="17">
        <v>1</v>
      </c>
      <c r="E90" s="3">
        <f t="shared" si="1"/>
        <v>19</v>
      </c>
      <c r="P90" s="15">
        <v>1</v>
      </c>
    </row>
    <row r="91" spans="1:34" s="15" customFormat="1" x14ac:dyDescent="0.35">
      <c r="A91" s="15">
        <v>2019</v>
      </c>
      <c r="B91" s="15">
        <v>36</v>
      </c>
      <c r="C91" s="16">
        <v>45908</v>
      </c>
      <c r="D91" s="17">
        <v>0</v>
      </c>
      <c r="E91" s="3">
        <f t="shared" si="1"/>
        <v>19</v>
      </c>
    </row>
    <row r="92" spans="1:34" s="15" customFormat="1" x14ac:dyDescent="0.35">
      <c r="A92" s="15">
        <v>2019</v>
      </c>
      <c r="B92" s="15">
        <v>37</v>
      </c>
      <c r="C92" s="16">
        <v>45915</v>
      </c>
      <c r="D92" s="17">
        <v>0</v>
      </c>
      <c r="E92" s="3">
        <f t="shared" si="1"/>
        <v>19</v>
      </c>
    </row>
    <row r="93" spans="1:34" s="15" customFormat="1" x14ac:dyDescent="0.35">
      <c r="A93" s="15">
        <v>2019</v>
      </c>
      <c r="B93" s="15">
        <v>38</v>
      </c>
      <c r="C93" s="16">
        <v>45922</v>
      </c>
      <c r="D93" s="17">
        <v>0</v>
      </c>
      <c r="E93" s="3">
        <f t="shared" si="1"/>
        <v>19</v>
      </c>
    </row>
    <row r="94" spans="1:34" s="14" customFormat="1" x14ac:dyDescent="0.35">
      <c r="A94" s="15">
        <v>2019</v>
      </c>
      <c r="B94" s="15">
        <v>39</v>
      </c>
      <c r="C94" s="19">
        <v>45929</v>
      </c>
      <c r="D94" s="17">
        <v>0</v>
      </c>
      <c r="E94" s="3">
        <f t="shared" si="1"/>
        <v>19</v>
      </c>
    </row>
    <row r="95" spans="1:34" s="14" customFormat="1" x14ac:dyDescent="0.35">
      <c r="A95" s="15">
        <v>2019</v>
      </c>
      <c r="B95" s="15">
        <v>40</v>
      </c>
      <c r="C95" s="19">
        <v>45936</v>
      </c>
      <c r="D95" s="17">
        <v>0</v>
      </c>
      <c r="E95" s="3">
        <f t="shared" si="1"/>
        <v>19</v>
      </c>
    </row>
    <row r="96" spans="1:34" s="14" customFormat="1" x14ac:dyDescent="0.35">
      <c r="A96" s="15">
        <v>2019</v>
      </c>
      <c r="B96" s="15">
        <v>41</v>
      </c>
      <c r="C96" s="19">
        <v>45943</v>
      </c>
      <c r="D96" s="17">
        <v>0</v>
      </c>
      <c r="E96" s="3">
        <f t="shared" si="1"/>
        <v>19</v>
      </c>
    </row>
    <row r="97" spans="1:40" s="14" customFormat="1" x14ac:dyDescent="0.35">
      <c r="A97" s="15">
        <v>2019</v>
      </c>
      <c r="B97" s="15">
        <v>42</v>
      </c>
      <c r="C97" s="19">
        <v>45950</v>
      </c>
      <c r="D97" s="17">
        <v>0</v>
      </c>
      <c r="E97" s="3">
        <f t="shared" si="1"/>
        <v>19</v>
      </c>
    </row>
    <row r="98" spans="1:40" s="14" customFormat="1" x14ac:dyDescent="0.35">
      <c r="A98" s="15">
        <v>2019</v>
      </c>
      <c r="B98" s="15">
        <v>43</v>
      </c>
      <c r="C98" s="19">
        <v>45957</v>
      </c>
      <c r="D98" s="17">
        <v>0</v>
      </c>
      <c r="E98" s="3">
        <f t="shared" si="1"/>
        <v>19</v>
      </c>
    </row>
    <row r="99" spans="1:40" s="14" customFormat="1" x14ac:dyDescent="0.35">
      <c r="A99" s="15">
        <v>2019</v>
      </c>
      <c r="B99" s="15">
        <v>44</v>
      </c>
      <c r="C99" s="19">
        <v>45964</v>
      </c>
      <c r="D99" s="17">
        <v>0</v>
      </c>
      <c r="E99" s="3">
        <f t="shared" si="1"/>
        <v>19</v>
      </c>
    </row>
    <row r="100" spans="1:40" s="14" customFormat="1" x14ac:dyDescent="0.35">
      <c r="A100" s="15">
        <v>2019</v>
      </c>
      <c r="B100" s="15">
        <v>45</v>
      </c>
      <c r="C100" s="19">
        <v>45971</v>
      </c>
      <c r="D100" s="17">
        <v>0</v>
      </c>
      <c r="E100" s="3">
        <f t="shared" si="1"/>
        <v>19</v>
      </c>
    </row>
    <row r="101" spans="1:40" s="14" customFormat="1" x14ac:dyDescent="0.35">
      <c r="A101" s="15">
        <v>2019</v>
      </c>
      <c r="B101" s="15">
        <v>46</v>
      </c>
      <c r="C101" s="19">
        <v>45978</v>
      </c>
      <c r="D101" s="17">
        <v>0</v>
      </c>
      <c r="E101" s="3">
        <f t="shared" si="1"/>
        <v>19</v>
      </c>
    </row>
    <row r="102" spans="1:40" s="14" customFormat="1" x14ac:dyDescent="0.35">
      <c r="A102" s="15">
        <v>2019</v>
      </c>
      <c r="B102" s="15">
        <v>47</v>
      </c>
      <c r="C102" s="19">
        <v>45985</v>
      </c>
      <c r="D102" s="17">
        <v>0</v>
      </c>
      <c r="E102" s="3">
        <f t="shared" si="1"/>
        <v>19</v>
      </c>
    </row>
    <row r="103" spans="1:40" s="14" customFormat="1" x14ac:dyDescent="0.35">
      <c r="A103" s="15">
        <v>2019</v>
      </c>
      <c r="B103" s="15">
        <v>48</v>
      </c>
      <c r="C103" s="19">
        <v>45992</v>
      </c>
      <c r="D103" s="17">
        <v>0</v>
      </c>
      <c r="E103" s="3">
        <f t="shared" si="1"/>
        <v>19</v>
      </c>
    </row>
    <row r="104" spans="1:40" s="14" customFormat="1" x14ac:dyDescent="0.35">
      <c r="A104" s="15">
        <v>2019</v>
      </c>
      <c r="B104" s="15">
        <v>49</v>
      </c>
      <c r="C104" s="19">
        <v>45999</v>
      </c>
      <c r="D104" s="17">
        <v>0</v>
      </c>
      <c r="E104" s="3">
        <f t="shared" si="1"/>
        <v>19</v>
      </c>
    </row>
    <row r="105" spans="1:40" s="14" customFormat="1" x14ac:dyDescent="0.35">
      <c r="A105" s="15">
        <v>2019</v>
      </c>
      <c r="B105" s="15">
        <v>50</v>
      </c>
      <c r="C105" s="19">
        <v>46006</v>
      </c>
      <c r="D105" s="17">
        <v>0</v>
      </c>
      <c r="E105" s="3">
        <f t="shared" si="1"/>
        <v>19</v>
      </c>
    </row>
    <row r="106" spans="1:40" s="14" customFormat="1" x14ac:dyDescent="0.35">
      <c r="A106" s="15">
        <v>2019</v>
      </c>
      <c r="B106" s="15">
        <v>51</v>
      </c>
      <c r="C106" s="19">
        <v>46013</v>
      </c>
      <c r="D106" s="17">
        <v>1</v>
      </c>
      <c r="E106" s="3">
        <f t="shared" si="1"/>
        <v>20</v>
      </c>
      <c r="AH106" s="14">
        <v>1</v>
      </c>
    </row>
    <row r="107" spans="1:40" s="14" customFormat="1" x14ac:dyDescent="0.35">
      <c r="A107" s="15">
        <v>2019</v>
      </c>
      <c r="B107" s="15">
        <v>52</v>
      </c>
      <c r="C107" s="19">
        <v>46020</v>
      </c>
      <c r="D107" s="17">
        <v>0</v>
      </c>
      <c r="E107" s="3">
        <f t="shared" si="1"/>
        <v>20</v>
      </c>
    </row>
    <row r="108" spans="1:40" s="5" customFormat="1" x14ac:dyDescent="0.35">
      <c r="A108" s="5">
        <v>2020</v>
      </c>
      <c r="B108" s="5">
        <v>1</v>
      </c>
      <c r="C108" s="5" t="s">
        <v>242</v>
      </c>
      <c r="D108" s="5">
        <v>0</v>
      </c>
      <c r="E108" s="5">
        <f>D108</f>
        <v>0</v>
      </c>
    </row>
    <row r="109" spans="1:40" s="4" customFormat="1" x14ac:dyDescent="0.35">
      <c r="A109" s="4">
        <v>2020</v>
      </c>
      <c r="B109" s="4">
        <v>2</v>
      </c>
      <c r="C109" s="4" t="s">
        <v>243</v>
      </c>
      <c r="D109" s="4">
        <v>1</v>
      </c>
      <c r="E109" s="4">
        <f>D109+E108</f>
        <v>1</v>
      </c>
    </row>
    <row r="110" spans="1:40" s="4" customFormat="1" x14ac:dyDescent="0.35">
      <c r="A110" s="4">
        <v>2020</v>
      </c>
      <c r="B110" s="4">
        <v>3</v>
      </c>
      <c r="C110" s="4" t="s">
        <v>244</v>
      </c>
      <c r="D110" s="4">
        <v>1</v>
      </c>
      <c r="E110" s="4">
        <f t="shared" ref="E110:E159" si="2">D110+E109</f>
        <v>2</v>
      </c>
      <c r="AH110" s="4">
        <v>1</v>
      </c>
    </row>
    <row r="111" spans="1:40" s="4" customFormat="1" x14ac:dyDescent="0.35">
      <c r="A111" s="4">
        <v>2020</v>
      </c>
      <c r="B111" s="4">
        <v>4</v>
      </c>
      <c r="C111" s="4" t="s">
        <v>245</v>
      </c>
      <c r="D111" s="4">
        <v>7</v>
      </c>
      <c r="E111" s="4">
        <f t="shared" si="2"/>
        <v>9</v>
      </c>
      <c r="M111" s="4">
        <v>1</v>
      </c>
      <c r="Y111" s="4">
        <v>3</v>
      </c>
      <c r="AH111" s="4">
        <v>1</v>
      </c>
      <c r="AN111" s="4">
        <v>1</v>
      </c>
    </row>
    <row r="112" spans="1:40" s="4" customFormat="1" x14ac:dyDescent="0.35">
      <c r="A112" s="4">
        <v>2020</v>
      </c>
      <c r="B112" s="4">
        <v>5</v>
      </c>
      <c r="C112" s="4" t="s">
        <v>246</v>
      </c>
      <c r="D112" s="4">
        <v>1</v>
      </c>
      <c r="E112" s="4">
        <f t="shared" si="2"/>
        <v>10</v>
      </c>
      <c r="O112" s="4">
        <v>1</v>
      </c>
    </row>
    <row r="113" spans="1:34" s="4" customFormat="1" x14ac:dyDescent="0.35">
      <c r="A113" s="4">
        <v>2020</v>
      </c>
      <c r="B113" s="4">
        <v>6</v>
      </c>
      <c r="C113" s="4" t="s">
        <v>247</v>
      </c>
      <c r="D113" s="4">
        <v>8</v>
      </c>
      <c r="E113" s="4">
        <f t="shared" si="2"/>
        <v>18</v>
      </c>
      <c r="O113" s="4">
        <v>2</v>
      </c>
      <c r="Q113" s="4">
        <v>4</v>
      </c>
      <c r="X113" s="4">
        <v>1</v>
      </c>
      <c r="AH113" s="4">
        <v>1</v>
      </c>
    </row>
    <row r="114" spans="1:34" s="4" customFormat="1" x14ac:dyDescent="0.35">
      <c r="A114" s="4">
        <v>2020</v>
      </c>
      <c r="B114" s="4">
        <v>7</v>
      </c>
      <c r="C114" s="4" t="s">
        <v>248</v>
      </c>
      <c r="D114" s="4">
        <v>4</v>
      </c>
      <c r="E114" s="4">
        <f>D114+E113</f>
        <v>22</v>
      </c>
      <c r="J114" s="4">
        <v>2</v>
      </c>
      <c r="P114" s="4">
        <v>1</v>
      </c>
      <c r="Z114" s="4">
        <v>1</v>
      </c>
    </row>
    <row r="115" spans="1:34" s="4" customFormat="1" x14ac:dyDescent="0.35">
      <c r="A115" s="4">
        <v>2020</v>
      </c>
      <c r="B115" s="4">
        <v>8</v>
      </c>
      <c r="C115" s="4" t="s">
        <v>249</v>
      </c>
      <c r="D115" s="4">
        <v>4</v>
      </c>
      <c r="E115" s="4">
        <f t="shared" si="2"/>
        <v>26</v>
      </c>
      <c r="Q115" s="4">
        <v>3</v>
      </c>
      <c r="AH115" s="4">
        <v>1</v>
      </c>
    </row>
    <row r="116" spans="1:34" s="4" customFormat="1" x14ac:dyDescent="0.35">
      <c r="A116" s="4">
        <v>2020</v>
      </c>
      <c r="B116" s="4">
        <v>9</v>
      </c>
      <c r="C116" s="4" t="s">
        <v>250</v>
      </c>
      <c r="D116" s="4">
        <v>1</v>
      </c>
      <c r="E116" s="4">
        <f t="shared" si="2"/>
        <v>27</v>
      </c>
      <c r="Q116" s="4">
        <v>1</v>
      </c>
      <c r="W116" s="4">
        <v>1</v>
      </c>
    </row>
    <row r="117" spans="1:34" s="4" customFormat="1" x14ac:dyDescent="0.35">
      <c r="A117" s="4">
        <v>2020</v>
      </c>
      <c r="B117" s="4">
        <v>10</v>
      </c>
      <c r="C117" s="4" t="s">
        <v>251</v>
      </c>
      <c r="D117" s="4">
        <v>2</v>
      </c>
      <c r="E117" s="4">
        <f t="shared" si="2"/>
        <v>29</v>
      </c>
      <c r="J117" s="4">
        <v>2</v>
      </c>
      <c r="Q117" s="4">
        <v>1</v>
      </c>
    </row>
    <row r="118" spans="1:34" x14ac:dyDescent="0.35">
      <c r="A118">
        <v>2020</v>
      </c>
      <c r="B118">
        <v>11</v>
      </c>
      <c r="C118" t="s">
        <v>252</v>
      </c>
      <c r="D118">
        <v>4</v>
      </c>
      <c r="E118">
        <v>33</v>
      </c>
      <c r="J118">
        <v>3</v>
      </c>
      <c r="P118" s="3"/>
      <c r="U118">
        <v>1</v>
      </c>
    </row>
    <row r="119" spans="1:34" x14ac:dyDescent="0.35">
      <c r="A119">
        <v>2020</v>
      </c>
      <c r="B119">
        <v>12</v>
      </c>
      <c r="C119" s="3" t="s">
        <v>253</v>
      </c>
      <c r="D119" s="3">
        <v>0</v>
      </c>
      <c r="E119">
        <f t="shared" si="2"/>
        <v>33</v>
      </c>
    </row>
    <row r="120" spans="1:34" x14ac:dyDescent="0.35">
      <c r="A120">
        <v>2020</v>
      </c>
      <c r="B120">
        <v>13</v>
      </c>
      <c r="C120" s="3" t="s">
        <v>254</v>
      </c>
      <c r="D120" s="3">
        <v>0</v>
      </c>
      <c r="E120">
        <f t="shared" si="2"/>
        <v>33</v>
      </c>
    </row>
    <row r="121" spans="1:34" x14ac:dyDescent="0.35">
      <c r="A121">
        <v>2020</v>
      </c>
      <c r="B121">
        <v>14</v>
      </c>
      <c r="C121" s="3" t="s">
        <v>255</v>
      </c>
      <c r="D121" s="3">
        <v>3</v>
      </c>
      <c r="E121">
        <f t="shared" si="2"/>
        <v>36</v>
      </c>
      <c r="L121">
        <v>1</v>
      </c>
      <c r="AH121">
        <v>2</v>
      </c>
    </row>
    <row r="122" spans="1:34" x14ac:dyDescent="0.35">
      <c r="A122">
        <v>2020</v>
      </c>
      <c r="B122">
        <v>15</v>
      </c>
      <c r="C122" s="3" t="s">
        <v>256</v>
      </c>
      <c r="D122" s="3">
        <v>0</v>
      </c>
      <c r="E122">
        <f t="shared" si="2"/>
        <v>36</v>
      </c>
    </row>
    <row r="123" spans="1:34" x14ac:dyDescent="0.35">
      <c r="A123">
        <v>2020</v>
      </c>
      <c r="B123">
        <v>16</v>
      </c>
      <c r="C123" s="3" t="s">
        <v>257</v>
      </c>
      <c r="D123" s="3">
        <v>0</v>
      </c>
      <c r="E123">
        <f t="shared" si="2"/>
        <v>36</v>
      </c>
    </row>
    <row r="124" spans="1:34" x14ac:dyDescent="0.35">
      <c r="A124">
        <v>2020</v>
      </c>
      <c r="B124">
        <v>17</v>
      </c>
      <c r="C124" s="3" t="s">
        <v>258</v>
      </c>
      <c r="D124" s="3">
        <v>0</v>
      </c>
      <c r="E124">
        <f t="shared" si="2"/>
        <v>36</v>
      </c>
    </row>
    <row r="125" spans="1:34" x14ac:dyDescent="0.35">
      <c r="A125">
        <v>2020</v>
      </c>
      <c r="B125">
        <v>18</v>
      </c>
      <c r="C125" s="3" t="s">
        <v>259</v>
      </c>
      <c r="D125" s="3">
        <v>0</v>
      </c>
      <c r="E125">
        <f t="shared" si="2"/>
        <v>36</v>
      </c>
    </row>
    <row r="126" spans="1:34" x14ac:dyDescent="0.35">
      <c r="A126">
        <v>2020</v>
      </c>
      <c r="B126">
        <v>19</v>
      </c>
      <c r="C126" s="3" t="s">
        <v>260</v>
      </c>
      <c r="D126" s="3">
        <v>0</v>
      </c>
      <c r="E126">
        <f t="shared" si="2"/>
        <v>36</v>
      </c>
    </row>
    <row r="127" spans="1:34" x14ac:dyDescent="0.35">
      <c r="A127">
        <v>2020</v>
      </c>
      <c r="B127">
        <v>20</v>
      </c>
      <c r="C127" s="3" t="s">
        <v>261</v>
      </c>
      <c r="D127" s="3">
        <v>0</v>
      </c>
      <c r="E127">
        <f t="shared" si="2"/>
        <v>36</v>
      </c>
    </row>
    <row r="128" spans="1:34" x14ac:dyDescent="0.35">
      <c r="A128">
        <v>2020</v>
      </c>
      <c r="B128">
        <v>21</v>
      </c>
      <c r="C128" s="3" t="s">
        <v>262</v>
      </c>
      <c r="D128" s="3">
        <v>1</v>
      </c>
      <c r="E128">
        <f t="shared" si="2"/>
        <v>37</v>
      </c>
      <c r="AH128">
        <v>1</v>
      </c>
    </row>
    <row r="129" spans="1:34" x14ac:dyDescent="0.35">
      <c r="A129">
        <v>2020</v>
      </c>
      <c r="B129">
        <v>22</v>
      </c>
      <c r="C129" s="3" t="s">
        <v>263</v>
      </c>
      <c r="D129" s="3">
        <v>0</v>
      </c>
      <c r="E129">
        <f t="shared" si="2"/>
        <v>37</v>
      </c>
    </row>
    <row r="130" spans="1:34" x14ac:dyDescent="0.35">
      <c r="A130">
        <v>2020</v>
      </c>
      <c r="B130">
        <v>23</v>
      </c>
      <c r="C130" s="3" t="s">
        <v>264</v>
      </c>
      <c r="D130" s="3">
        <v>1</v>
      </c>
      <c r="E130">
        <f t="shared" si="2"/>
        <v>38</v>
      </c>
      <c r="AH130">
        <v>1</v>
      </c>
    </row>
    <row r="131" spans="1:34" x14ac:dyDescent="0.35">
      <c r="A131">
        <v>2020</v>
      </c>
      <c r="B131">
        <v>24</v>
      </c>
      <c r="C131" s="3" t="s">
        <v>265</v>
      </c>
      <c r="D131" s="3">
        <v>1</v>
      </c>
      <c r="E131">
        <f t="shared" si="2"/>
        <v>39</v>
      </c>
      <c r="AH131">
        <v>1</v>
      </c>
    </row>
    <row r="132" spans="1:34" x14ac:dyDescent="0.35">
      <c r="A132">
        <v>2020</v>
      </c>
      <c r="B132">
        <v>25</v>
      </c>
      <c r="C132" s="3" t="s">
        <v>266</v>
      </c>
      <c r="D132" s="3">
        <v>1</v>
      </c>
      <c r="E132">
        <f t="shared" si="2"/>
        <v>40</v>
      </c>
      <c r="AH132">
        <v>1</v>
      </c>
    </row>
    <row r="133" spans="1:34" x14ac:dyDescent="0.35">
      <c r="A133">
        <v>2020</v>
      </c>
      <c r="B133">
        <v>26</v>
      </c>
      <c r="C133" s="3" t="s">
        <v>267</v>
      </c>
      <c r="D133" s="3">
        <v>0</v>
      </c>
      <c r="E133">
        <f t="shared" si="2"/>
        <v>40</v>
      </c>
    </row>
    <row r="134" spans="1:34" x14ac:dyDescent="0.35">
      <c r="A134">
        <v>2020</v>
      </c>
      <c r="B134">
        <v>27</v>
      </c>
      <c r="C134" s="3" t="s">
        <v>268</v>
      </c>
      <c r="D134" s="3">
        <v>0</v>
      </c>
      <c r="E134">
        <f t="shared" si="2"/>
        <v>40</v>
      </c>
    </row>
    <row r="135" spans="1:34" x14ac:dyDescent="0.35">
      <c r="A135">
        <v>2020</v>
      </c>
      <c r="B135">
        <v>28</v>
      </c>
      <c r="C135" s="3" t="s">
        <v>269</v>
      </c>
      <c r="D135" s="3">
        <v>0</v>
      </c>
      <c r="E135">
        <f t="shared" si="2"/>
        <v>40</v>
      </c>
    </row>
    <row r="136" spans="1:34" x14ac:dyDescent="0.35">
      <c r="A136">
        <v>2020</v>
      </c>
      <c r="B136">
        <v>29</v>
      </c>
      <c r="C136" s="3" t="s">
        <v>270</v>
      </c>
      <c r="D136" s="3">
        <v>1</v>
      </c>
      <c r="E136">
        <f t="shared" si="2"/>
        <v>41</v>
      </c>
      <c r="AH136">
        <v>1</v>
      </c>
    </row>
    <row r="137" spans="1:34" x14ac:dyDescent="0.35">
      <c r="A137">
        <v>2020</v>
      </c>
      <c r="B137">
        <v>30</v>
      </c>
      <c r="C137" s="3" t="s">
        <v>271</v>
      </c>
      <c r="D137" s="3">
        <v>0</v>
      </c>
      <c r="E137">
        <f t="shared" si="2"/>
        <v>41</v>
      </c>
    </row>
    <row r="138" spans="1:34" x14ac:dyDescent="0.35">
      <c r="A138">
        <v>2020</v>
      </c>
      <c r="B138">
        <v>31</v>
      </c>
      <c r="C138" s="3" t="s">
        <v>272</v>
      </c>
      <c r="D138" s="3">
        <v>0</v>
      </c>
      <c r="E138">
        <f t="shared" si="2"/>
        <v>41</v>
      </c>
    </row>
    <row r="139" spans="1:34" x14ac:dyDescent="0.35">
      <c r="A139">
        <v>2020</v>
      </c>
      <c r="B139">
        <v>32</v>
      </c>
      <c r="C139" s="3" t="s">
        <v>273</v>
      </c>
      <c r="D139" s="3">
        <v>0</v>
      </c>
      <c r="E139">
        <f t="shared" si="2"/>
        <v>41</v>
      </c>
    </row>
    <row r="140" spans="1:34" x14ac:dyDescent="0.35">
      <c r="A140">
        <v>2020</v>
      </c>
      <c r="B140">
        <v>33</v>
      </c>
      <c r="C140" s="3" t="s">
        <v>274</v>
      </c>
      <c r="D140" s="3">
        <v>0</v>
      </c>
      <c r="E140">
        <f t="shared" si="2"/>
        <v>41</v>
      </c>
    </row>
    <row r="141" spans="1:34" x14ac:dyDescent="0.35">
      <c r="A141">
        <v>2020</v>
      </c>
      <c r="B141">
        <v>34</v>
      </c>
      <c r="C141" s="3" t="s">
        <v>275</v>
      </c>
      <c r="D141" s="3">
        <v>2</v>
      </c>
      <c r="E141">
        <f t="shared" si="2"/>
        <v>43</v>
      </c>
      <c r="AH141">
        <v>2</v>
      </c>
    </row>
    <row r="142" spans="1:34" x14ac:dyDescent="0.35">
      <c r="A142">
        <v>2020</v>
      </c>
      <c r="B142">
        <v>35</v>
      </c>
      <c r="C142" s="3" t="s">
        <v>276</v>
      </c>
      <c r="D142" s="3">
        <v>0</v>
      </c>
      <c r="E142">
        <f t="shared" si="2"/>
        <v>43</v>
      </c>
    </row>
    <row r="143" spans="1:34" x14ac:dyDescent="0.35">
      <c r="A143">
        <v>2020</v>
      </c>
      <c r="B143">
        <v>36</v>
      </c>
      <c r="C143" s="3" t="s">
        <v>277</v>
      </c>
      <c r="D143" s="3">
        <v>0</v>
      </c>
      <c r="E143">
        <f t="shared" si="2"/>
        <v>43</v>
      </c>
    </row>
    <row r="144" spans="1:34" x14ac:dyDescent="0.35">
      <c r="A144">
        <v>2020</v>
      </c>
      <c r="B144">
        <v>37</v>
      </c>
      <c r="C144" s="3" t="s">
        <v>278</v>
      </c>
      <c r="D144" s="3">
        <v>0</v>
      </c>
      <c r="E144">
        <f t="shared" si="2"/>
        <v>43</v>
      </c>
    </row>
    <row r="145" spans="1:40" x14ac:dyDescent="0.35">
      <c r="A145">
        <v>2020</v>
      </c>
      <c r="B145">
        <v>38</v>
      </c>
      <c r="C145" s="3" t="s">
        <v>279</v>
      </c>
      <c r="D145" s="3">
        <v>0</v>
      </c>
      <c r="E145">
        <f t="shared" si="2"/>
        <v>43</v>
      </c>
    </row>
    <row r="146" spans="1:40" x14ac:dyDescent="0.35">
      <c r="A146">
        <v>2020</v>
      </c>
      <c r="B146">
        <v>39</v>
      </c>
      <c r="C146" s="3" t="s">
        <v>280</v>
      </c>
      <c r="D146" s="3">
        <v>0</v>
      </c>
      <c r="E146">
        <f t="shared" si="2"/>
        <v>43</v>
      </c>
    </row>
    <row r="147" spans="1:40" x14ac:dyDescent="0.35">
      <c r="A147">
        <v>2020</v>
      </c>
      <c r="B147">
        <v>40</v>
      </c>
      <c r="C147" s="3" t="s">
        <v>281</v>
      </c>
      <c r="D147" s="3">
        <v>0</v>
      </c>
      <c r="E147">
        <f t="shared" si="2"/>
        <v>43</v>
      </c>
    </row>
    <row r="148" spans="1:40" x14ac:dyDescent="0.35">
      <c r="A148">
        <v>2020</v>
      </c>
      <c r="B148">
        <v>41</v>
      </c>
      <c r="C148" s="3" t="s">
        <v>282</v>
      </c>
      <c r="D148" s="3">
        <v>0</v>
      </c>
      <c r="E148">
        <f t="shared" si="2"/>
        <v>43</v>
      </c>
    </row>
    <row r="149" spans="1:40" x14ac:dyDescent="0.35">
      <c r="A149">
        <v>2020</v>
      </c>
      <c r="B149">
        <v>42</v>
      </c>
      <c r="C149" s="3" t="s">
        <v>283</v>
      </c>
      <c r="D149" s="3">
        <v>1</v>
      </c>
      <c r="E149">
        <f t="shared" si="2"/>
        <v>44</v>
      </c>
      <c r="AH149">
        <v>1</v>
      </c>
    </row>
    <row r="150" spans="1:40" x14ac:dyDescent="0.35">
      <c r="A150">
        <v>2020</v>
      </c>
      <c r="B150">
        <v>43</v>
      </c>
      <c r="C150" s="3" t="s">
        <v>284</v>
      </c>
      <c r="D150" s="3">
        <v>0</v>
      </c>
      <c r="E150">
        <f t="shared" si="2"/>
        <v>44</v>
      </c>
    </row>
    <row r="151" spans="1:40" x14ac:dyDescent="0.35">
      <c r="A151">
        <v>2020</v>
      </c>
      <c r="B151">
        <v>44</v>
      </c>
      <c r="C151" s="3" t="s">
        <v>285</v>
      </c>
      <c r="D151" s="3">
        <v>0</v>
      </c>
      <c r="E151">
        <f t="shared" si="2"/>
        <v>44</v>
      </c>
    </row>
    <row r="152" spans="1:40" x14ac:dyDescent="0.35">
      <c r="A152">
        <v>2020</v>
      </c>
      <c r="B152">
        <v>45</v>
      </c>
      <c r="C152" s="3" t="s">
        <v>286</v>
      </c>
      <c r="D152" s="3">
        <v>2</v>
      </c>
      <c r="E152">
        <f t="shared" si="2"/>
        <v>46</v>
      </c>
      <c r="AH152">
        <v>2</v>
      </c>
    </row>
    <row r="153" spans="1:40" x14ac:dyDescent="0.35">
      <c r="A153">
        <v>2020</v>
      </c>
      <c r="B153">
        <v>46</v>
      </c>
      <c r="C153" s="3" t="s">
        <v>287</v>
      </c>
      <c r="D153" s="3">
        <v>0</v>
      </c>
      <c r="E153">
        <f t="shared" si="2"/>
        <v>46</v>
      </c>
    </row>
    <row r="154" spans="1:40" x14ac:dyDescent="0.35">
      <c r="A154">
        <v>2020</v>
      </c>
      <c r="B154">
        <v>47</v>
      </c>
      <c r="C154" s="3" t="s">
        <v>288</v>
      </c>
      <c r="D154" s="3">
        <v>0</v>
      </c>
      <c r="E154">
        <f t="shared" si="2"/>
        <v>46</v>
      </c>
    </row>
    <row r="155" spans="1:40" x14ac:dyDescent="0.35">
      <c r="A155">
        <v>2020</v>
      </c>
      <c r="B155">
        <v>48</v>
      </c>
      <c r="C155" s="3" t="s">
        <v>289</v>
      </c>
      <c r="D155" s="3">
        <v>0</v>
      </c>
      <c r="E155">
        <f t="shared" si="2"/>
        <v>46</v>
      </c>
    </row>
    <row r="156" spans="1:40" x14ac:dyDescent="0.35">
      <c r="A156">
        <v>2020</v>
      </c>
      <c r="B156">
        <v>49</v>
      </c>
      <c r="C156" s="3" t="s">
        <v>290</v>
      </c>
      <c r="D156" s="3">
        <v>0</v>
      </c>
      <c r="E156">
        <f t="shared" si="2"/>
        <v>46</v>
      </c>
    </row>
    <row r="157" spans="1:40" x14ac:dyDescent="0.35">
      <c r="A157">
        <v>2020</v>
      </c>
      <c r="B157">
        <v>50</v>
      </c>
      <c r="C157" s="3" t="s">
        <v>291</v>
      </c>
      <c r="D157" s="3">
        <v>1</v>
      </c>
      <c r="E157">
        <f t="shared" si="2"/>
        <v>47</v>
      </c>
      <c r="AN157">
        <v>1</v>
      </c>
    </row>
    <row r="158" spans="1:40" x14ac:dyDescent="0.35">
      <c r="A158">
        <v>2020</v>
      </c>
      <c r="B158">
        <v>51</v>
      </c>
      <c r="C158" s="3" t="s">
        <v>292</v>
      </c>
      <c r="D158" s="3">
        <v>1</v>
      </c>
      <c r="E158">
        <f t="shared" si="2"/>
        <v>48</v>
      </c>
      <c r="AH158">
        <v>1</v>
      </c>
    </row>
    <row r="159" spans="1:40" x14ac:dyDescent="0.35">
      <c r="A159">
        <v>2020</v>
      </c>
      <c r="B159">
        <v>52</v>
      </c>
      <c r="C159" s="3" t="s">
        <v>293</v>
      </c>
      <c r="D159" s="3">
        <v>0</v>
      </c>
      <c r="E159">
        <f t="shared" si="2"/>
        <v>48</v>
      </c>
    </row>
    <row r="160" spans="1:40" s="1" customFormat="1" x14ac:dyDescent="0.35">
      <c r="A160" s="1">
        <v>2021</v>
      </c>
      <c r="B160" s="1">
        <v>1</v>
      </c>
      <c r="C160" s="1" t="s">
        <v>180</v>
      </c>
      <c r="D160" s="1">
        <v>0</v>
      </c>
      <c r="E160" s="1">
        <f>D160</f>
        <v>0</v>
      </c>
    </row>
    <row r="161" spans="1:40" x14ac:dyDescent="0.35">
      <c r="A161">
        <v>2021</v>
      </c>
      <c r="B161">
        <v>2</v>
      </c>
      <c r="C161" s="2" t="s">
        <v>181</v>
      </c>
      <c r="D161">
        <v>0</v>
      </c>
      <c r="E161">
        <f>D161+E160</f>
        <v>0</v>
      </c>
    </row>
    <row r="162" spans="1:40" x14ac:dyDescent="0.35">
      <c r="A162">
        <v>2021</v>
      </c>
      <c r="B162">
        <v>3</v>
      </c>
      <c r="C162" t="s">
        <v>182</v>
      </c>
      <c r="D162">
        <v>0</v>
      </c>
      <c r="E162">
        <f t="shared" ref="E162:E210" si="3">D162+E161</f>
        <v>0</v>
      </c>
    </row>
    <row r="163" spans="1:40" x14ac:dyDescent="0.35">
      <c r="A163">
        <v>2021</v>
      </c>
      <c r="B163">
        <v>4</v>
      </c>
      <c r="C163" t="s">
        <v>183</v>
      </c>
      <c r="D163">
        <v>0</v>
      </c>
      <c r="E163">
        <f t="shared" si="3"/>
        <v>0</v>
      </c>
    </row>
    <row r="164" spans="1:40" x14ac:dyDescent="0.35">
      <c r="A164">
        <v>2021</v>
      </c>
      <c r="B164">
        <v>5</v>
      </c>
      <c r="C164" t="s">
        <v>184</v>
      </c>
      <c r="D164">
        <v>1</v>
      </c>
      <c r="E164">
        <f t="shared" si="3"/>
        <v>1</v>
      </c>
      <c r="AN164">
        <v>1</v>
      </c>
    </row>
    <row r="165" spans="1:40" x14ac:dyDescent="0.35">
      <c r="A165">
        <v>2021</v>
      </c>
      <c r="B165">
        <v>6</v>
      </c>
      <c r="C165" t="s">
        <v>185</v>
      </c>
      <c r="D165">
        <v>0</v>
      </c>
      <c r="E165">
        <f t="shared" si="3"/>
        <v>1</v>
      </c>
    </row>
    <row r="166" spans="1:40" x14ac:dyDescent="0.35">
      <c r="A166">
        <v>2021</v>
      </c>
      <c r="B166">
        <v>7</v>
      </c>
      <c r="C166" t="s">
        <v>186</v>
      </c>
      <c r="D166">
        <v>1</v>
      </c>
      <c r="E166">
        <f t="shared" si="3"/>
        <v>2</v>
      </c>
      <c r="S166">
        <v>1</v>
      </c>
    </row>
    <row r="167" spans="1:40" x14ac:dyDescent="0.35">
      <c r="A167">
        <v>2021</v>
      </c>
      <c r="B167">
        <v>8</v>
      </c>
      <c r="C167" t="s">
        <v>187</v>
      </c>
      <c r="D167">
        <v>0</v>
      </c>
      <c r="E167">
        <f t="shared" si="3"/>
        <v>2</v>
      </c>
    </row>
    <row r="168" spans="1:40" x14ac:dyDescent="0.35">
      <c r="A168">
        <v>2021</v>
      </c>
      <c r="B168">
        <v>9</v>
      </c>
      <c r="C168" t="s">
        <v>188</v>
      </c>
      <c r="D168">
        <v>2</v>
      </c>
      <c r="E168">
        <f t="shared" si="3"/>
        <v>4</v>
      </c>
      <c r="AH168">
        <v>2</v>
      </c>
    </row>
    <row r="169" spans="1:40" x14ac:dyDescent="0.35">
      <c r="A169">
        <v>2021</v>
      </c>
      <c r="B169">
        <v>10</v>
      </c>
      <c r="C169" t="s">
        <v>189</v>
      </c>
      <c r="D169">
        <v>0</v>
      </c>
      <c r="E169">
        <f t="shared" si="3"/>
        <v>4</v>
      </c>
    </row>
    <row r="170" spans="1:40" x14ac:dyDescent="0.35">
      <c r="A170">
        <v>2021</v>
      </c>
      <c r="B170">
        <v>11</v>
      </c>
      <c r="C170" t="s">
        <v>190</v>
      </c>
      <c r="D170">
        <v>0</v>
      </c>
      <c r="E170">
        <f t="shared" si="3"/>
        <v>4</v>
      </c>
    </row>
    <row r="171" spans="1:40" x14ac:dyDescent="0.35">
      <c r="A171">
        <v>2021</v>
      </c>
      <c r="B171">
        <v>12</v>
      </c>
      <c r="C171" t="s">
        <v>191</v>
      </c>
      <c r="D171">
        <v>0</v>
      </c>
      <c r="E171">
        <f t="shared" si="3"/>
        <v>4</v>
      </c>
    </row>
    <row r="172" spans="1:40" x14ac:dyDescent="0.35">
      <c r="A172">
        <v>2021</v>
      </c>
      <c r="B172">
        <v>13</v>
      </c>
      <c r="C172" t="s">
        <v>192</v>
      </c>
      <c r="D172">
        <v>0</v>
      </c>
      <c r="E172">
        <f t="shared" si="3"/>
        <v>4</v>
      </c>
    </row>
    <row r="173" spans="1:40" x14ac:dyDescent="0.35">
      <c r="A173">
        <v>2021</v>
      </c>
      <c r="B173">
        <v>14</v>
      </c>
      <c r="C173" t="s">
        <v>193</v>
      </c>
      <c r="D173">
        <v>0</v>
      </c>
      <c r="E173">
        <f t="shared" si="3"/>
        <v>4</v>
      </c>
    </row>
    <row r="174" spans="1:40" x14ac:dyDescent="0.35">
      <c r="A174">
        <v>2021</v>
      </c>
      <c r="B174">
        <v>15</v>
      </c>
      <c r="C174" t="s">
        <v>194</v>
      </c>
      <c r="D174">
        <v>0</v>
      </c>
      <c r="E174">
        <f t="shared" si="3"/>
        <v>4</v>
      </c>
    </row>
    <row r="175" spans="1:40" x14ac:dyDescent="0.35">
      <c r="A175">
        <v>2021</v>
      </c>
      <c r="B175">
        <v>16</v>
      </c>
      <c r="C175" t="s">
        <v>195</v>
      </c>
      <c r="D175">
        <v>1</v>
      </c>
      <c r="E175">
        <f t="shared" si="3"/>
        <v>5</v>
      </c>
      <c r="AH175">
        <v>1</v>
      </c>
    </row>
    <row r="176" spans="1:40" x14ac:dyDescent="0.35">
      <c r="A176">
        <v>2021</v>
      </c>
      <c r="B176">
        <v>17</v>
      </c>
      <c r="C176" t="s">
        <v>196</v>
      </c>
      <c r="D176">
        <v>0</v>
      </c>
      <c r="E176">
        <f t="shared" si="3"/>
        <v>5</v>
      </c>
    </row>
    <row r="177" spans="1:34" x14ac:dyDescent="0.35">
      <c r="A177">
        <v>2021</v>
      </c>
      <c r="B177">
        <v>18</v>
      </c>
      <c r="C177" t="s">
        <v>197</v>
      </c>
      <c r="D177">
        <v>0</v>
      </c>
      <c r="E177">
        <f t="shared" si="3"/>
        <v>5</v>
      </c>
    </row>
    <row r="178" spans="1:34" x14ac:dyDescent="0.35">
      <c r="A178">
        <v>2021</v>
      </c>
      <c r="B178">
        <v>19</v>
      </c>
      <c r="C178" t="s">
        <v>198</v>
      </c>
      <c r="D178">
        <v>0</v>
      </c>
      <c r="E178">
        <f t="shared" si="3"/>
        <v>5</v>
      </c>
    </row>
    <row r="179" spans="1:34" x14ac:dyDescent="0.35">
      <c r="A179">
        <v>2021</v>
      </c>
      <c r="B179">
        <v>20</v>
      </c>
      <c r="C179" t="s">
        <v>199</v>
      </c>
      <c r="D179">
        <v>0</v>
      </c>
      <c r="E179">
        <f t="shared" si="3"/>
        <v>5</v>
      </c>
    </row>
    <row r="180" spans="1:34" x14ac:dyDescent="0.35">
      <c r="A180">
        <v>2021</v>
      </c>
      <c r="B180">
        <v>21</v>
      </c>
      <c r="C180" t="s">
        <v>201</v>
      </c>
      <c r="D180">
        <v>1</v>
      </c>
      <c r="E180">
        <f t="shared" si="3"/>
        <v>6</v>
      </c>
      <c r="AH180">
        <v>1</v>
      </c>
    </row>
    <row r="181" spans="1:34" x14ac:dyDescent="0.35">
      <c r="A181">
        <v>2021</v>
      </c>
      <c r="B181">
        <v>22</v>
      </c>
      <c r="C181" t="s">
        <v>200</v>
      </c>
      <c r="D181">
        <v>0</v>
      </c>
      <c r="E181">
        <f t="shared" si="3"/>
        <v>6</v>
      </c>
    </row>
    <row r="182" spans="1:34" x14ac:dyDescent="0.35">
      <c r="A182">
        <v>2021</v>
      </c>
      <c r="B182">
        <v>23</v>
      </c>
      <c r="C182" t="s">
        <v>202</v>
      </c>
      <c r="E182">
        <f t="shared" si="3"/>
        <v>6</v>
      </c>
    </row>
    <row r="183" spans="1:34" x14ac:dyDescent="0.35">
      <c r="A183">
        <v>2021</v>
      </c>
      <c r="B183">
        <v>24</v>
      </c>
      <c r="C183" t="s">
        <v>202</v>
      </c>
      <c r="E183">
        <f t="shared" si="3"/>
        <v>6</v>
      </c>
    </row>
    <row r="184" spans="1:34" x14ac:dyDescent="0.35">
      <c r="A184">
        <v>2021</v>
      </c>
      <c r="B184">
        <v>25</v>
      </c>
      <c r="C184" t="s">
        <v>203</v>
      </c>
      <c r="D184">
        <v>0</v>
      </c>
      <c r="E184">
        <f t="shared" si="3"/>
        <v>6</v>
      </c>
    </row>
    <row r="185" spans="1:34" x14ac:dyDescent="0.35">
      <c r="A185">
        <v>2021</v>
      </c>
      <c r="B185">
        <v>26</v>
      </c>
      <c r="C185" t="s">
        <v>204</v>
      </c>
      <c r="D185">
        <v>0</v>
      </c>
      <c r="E185">
        <f t="shared" si="3"/>
        <v>6</v>
      </c>
    </row>
    <row r="186" spans="1:34" x14ac:dyDescent="0.35">
      <c r="A186">
        <v>2021</v>
      </c>
      <c r="B186">
        <v>27</v>
      </c>
      <c r="C186" t="s">
        <v>205</v>
      </c>
      <c r="D186">
        <v>0</v>
      </c>
      <c r="E186">
        <f t="shared" si="3"/>
        <v>6</v>
      </c>
    </row>
    <row r="187" spans="1:34" x14ac:dyDescent="0.35">
      <c r="A187">
        <v>2021</v>
      </c>
      <c r="B187">
        <v>28</v>
      </c>
      <c r="C187" t="s">
        <v>206</v>
      </c>
      <c r="D187">
        <v>0</v>
      </c>
      <c r="E187">
        <f t="shared" si="3"/>
        <v>6</v>
      </c>
    </row>
    <row r="188" spans="1:34" x14ac:dyDescent="0.35">
      <c r="A188">
        <v>2021</v>
      </c>
      <c r="B188">
        <v>29</v>
      </c>
      <c r="C188" t="s">
        <v>207</v>
      </c>
      <c r="D188">
        <v>0</v>
      </c>
      <c r="E188">
        <f t="shared" si="3"/>
        <v>6</v>
      </c>
    </row>
    <row r="189" spans="1:34" x14ac:dyDescent="0.35">
      <c r="A189">
        <v>2021</v>
      </c>
      <c r="B189">
        <v>30</v>
      </c>
      <c r="C189" t="s">
        <v>202</v>
      </c>
      <c r="E189">
        <f t="shared" si="3"/>
        <v>6</v>
      </c>
    </row>
    <row r="190" spans="1:34" x14ac:dyDescent="0.35">
      <c r="A190">
        <v>2021</v>
      </c>
      <c r="B190">
        <v>31</v>
      </c>
      <c r="C190" t="s">
        <v>208</v>
      </c>
      <c r="D190">
        <v>0</v>
      </c>
      <c r="E190">
        <f t="shared" si="3"/>
        <v>6</v>
      </c>
    </row>
    <row r="191" spans="1:34" x14ac:dyDescent="0.35">
      <c r="A191">
        <v>2021</v>
      </c>
      <c r="B191">
        <v>32</v>
      </c>
      <c r="C191" t="s">
        <v>202</v>
      </c>
      <c r="E191">
        <f t="shared" si="3"/>
        <v>6</v>
      </c>
    </row>
    <row r="192" spans="1:34" x14ac:dyDescent="0.35">
      <c r="A192">
        <v>2021</v>
      </c>
      <c r="B192">
        <v>33</v>
      </c>
      <c r="C192" t="s">
        <v>209</v>
      </c>
      <c r="D192">
        <v>0</v>
      </c>
      <c r="E192">
        <f t="shared" si="3"/>
        <v>6</v>
      </c>
    </row>
    <row r="193" spans="1:31" x14ac:dyDescent="0.35">
      <c r="A193">
        <v>2021</v>
      </c>
      <c r="B193">
        <v>34</v>
      </c>
      <c r="C193" t="s">
        <v>210</v>
      </c>
      <c r="D193">
        <v>0</v>
      </c>
      <c r="E193">
        <f t="shared" si="3"/>
        <v>6</v>
      </c>
    </row>
    <row r="194" spans="1:31" x14ac:dyDescent="0.35">
      <c r="A194">
        <v>2021</v>
      </c>
      <c r="B194">
        <v>35</v>
      </c>
      <c r="C194" t="s">
        <v>211</v>
      </c>
      <c r="D194">
        <v>0</v>
      </c>
      <c r="E194">
        <f t="shared" si="3"/>
        <v>6</v>
      </c>
    </row>
    <row r="195" spans="1:31" x14ac:dyDescent="0.35">
      <c r="A195">
        <v>2021</v>
      </c>
      <c r="B195">
        <v>36</v>
      </c>
      <c r="C195" t="s">
        <v>212</v>
      </c>
      <c r="D195">
        <v>0</v>
      </c>
      <c r="E195">
        <f t="shared" si="3"/>
        <v>6</v>
      </c>
    </row>
    <row r="196" spans="1:31" x14ac:dyDescent="0.35">
      <c r="A196">
        <v>2021</v>
      </c>
      <c r="B196">
        <v>37</v>
      </c>
      <c r="C196" t="s">
        <v>213</v>
      </c>
      <c r="D196">
        <v>0</v>
      </c>
      <c r="E196">
        <f t="shared" si="3"/>
        <v>6</v>
      </c>
    </row>
    <row r="197" spans="1:31" x14ac:dyDescent="0.35">
      <c r="A197">
        <v>2021</v>
      </c>
      <c r="B197">
        <v>38</v>
      </c>
      <c r="C197" t="s">
        <v>214</v>
      </c>
      <c r="D197">
        <v>0</v>
      </c>
      <c r="E197">
        <f t="shared" si="3"/>
        <v>6</v>
      </c>
    </row>
    <row r="198" spans="1:31" x14ac:dyDescent="0.35">
      <c r="A198">
        <v>2021</v>
      </c>
      <c r="B198">
        <v>39</v>
      </c>
      <c r="C198" t="s">
        <v>215</v>
      </c>
      <c r="D198">
        <v>0</v>
      </c>
      <c r="E198">
        <f t="shared" si="3"/>
        <v>6</v>
      </c>
    </row>
    <row r="199" spans="1:31" x14ac:dyDescent="0.35">
      <c r="A199">
        <v>2021</v>
      </c>
      <c r="B199">
        <v>40</v>
      </c>
      <c r="C199" t="s">
        <v>216</v>
      </c>
      <c r="D199">
        <v>0</v>
      </c>
      <c r="E199">
        <f t="shared" si="3"/>
        <v>6</v>
      </c>
    </row>
    <row r="200" spans="1:31" x14ac:dyDescent="0.35">
      <c r="A200">
        <v>2021</v>
      </c>
      <c r="B200">
        <v>41</v>
      </c>
      <c r="C200" t="s">
        <v>217</v>
      </c>
      <c r="D200">
        <v>0</v>
      </c>
      <c r="E200">
        <f t="shared" si="3"/>
        <v>6</v>
      </c>
    </row>
    <row r="201" spans="1:31" x14ac:dyDescent="0.35">
      <c r="A201">
        <v>2021</v>
      </c>
      <c r="B201">
        <v>42</v>
      </c>
      <c r="C201" t="s">
        <v>218</v>
      </c>
      <c r="D201">
        <v>0</v>
      </c>
      <c r="E201">
        <f t="shared" si="3"/>
        <v>6</v>
      </c>
    </row>
    <row r="202" spans="1:31" x14ac:dyDescent="0.35">
      <c r="A202">
        <v>2021</v>
      </c>
      <c r="B202">
        <v>43</v>
      </c>
      <c r="C202" t="s">
        <v>219</v>
      </c>
      <c r="D202">
        <v>0</v>
      </c>
      <c r="E202">
        <f t="shared" si="3"/>
        <v>6</v>
      </c>
    </row>
    <row r="203" spans="1:31" x14ac:dyDescent="0.35">
      <c r="A203">
        <v>2021</v>
      </c>
      <c r="B203">
        <v>44</v>
      </c>
      <c r="C203" t="s">
        <v>220</v>
      </c>
      <c r="D203">
        <v>0</v>
      </c>
      <c r="E203">
        <f t="shared" si="3"/>
        <v>6</v>
      </c>
    </row>
    <row r="204" spans="1:31" x14ac:dyDescent="0.35">
      <c r="A204">
        <v>2021</v>
      </c>
      <c r="B204">
        <v>45</v>
      </c>
      <c r="C204" t="s">
        <v>221</v>
      </c>
      <c r="D204">
        <v>0</v>
      </c>
      <c r="E204">
        <f t="shared" si="3"/>
        <v>6</v>
      </c>
    </row>
    <row r="205" spans="1:31" x14ac:dyDescent="0.35">
      <c r="A205">
        <v>2021</v>
      </c>
      <c r="B205">
        <v>46</v>
      </c>
      <c r="C205" t="s">
        <v>222</v>
      </c>
      <c r="D205">
        <v>0</v>
      </c>
      <c r="E205">
        <f t="shared" si="3"/>
        <v>6</v>
      </c>
    </row>
    <row r="206" spans="1:31" x14ac:dyDescent="0.35">
      <c r="A206">
        <v>2021</v>
      </c>
      <c r="B206">
        <v>47</v>
      </c>
      <c r="C206" t="s">
        <v>223</v>
      </c>
      <c r="D206">
        <v>0</v>
      </c>
      <c r="E206">
        <f t="shared" si="3"/>
        <v>6</v>
      </c>
    </row>
    <row r="207" spans="1:31" x14ac:dyDescent="0.35">
      <c r="A207">
        <v>2021</v>
      </c>
      <c r="B207">
        <v>48</v>
      </c>
      <c r="C207" t="s">
        <v>224</v>
      </c>
      <c r="D207">
        <v>0</v>
      </c>
      <c r="E207">
        <f t="shared" si="3"/>
        <v>6</v>
      </c>
    </row>
    <row r="208" spans="1:31" x14ac:dyDescent="0.35">
      <c r="A208">
        <v>2021</v>
      </c>
      <c r="B208">
        <v>49</v>
      </c>
      <c r="C208" t="s">
        <v>225</v>
      </c>
      <c r="D208">
        <v>2</v>
      </c>
      <c r="E208">
        <f t="shared" si="3"/>
        <v>8</v>
      </c>
      <c r="AE208">
        <v>2</v>
      </c>
    </row>
    <row r="209" spans="1:36" x14ac:dyDescent="0.35">
      <c r="A209">
        <v>2021</v>
      </c>
      <c r="B209">
        <v>50</v>
      </c>
      <c r="C209" t="s">
        <v>226</v>
      </c>
      <c r="D209">
        <v>2</v>
      </c>
      <c r="E209">
        <f t="shared" si="3"/>
        <v>10</v>
      </c>
      <c r="AH209">
        <v>2</v>
      </c>
    </row>
    <row r="210" spans="1:36" x14ac:dyDescent="0.35">
      <c r="A210">
        <v>2021</v>
      </c>
      <c r="B210">
        <v>51</v>
      </c>
      <c r="C210" t="s">
        <v>227</v>
      </c>
      <c r="D210">
        <v>0</v>
      </c>
      <c r="E210">
        <f t="shared" si="3"/>
        <v>10</v>
      </c>
    </row>
    <row r="211" spans="1:36" x14ac:dyDescent="0.35">
      <c r="A211">
        <v>2021</v>
      </c>
      <c r="B211">
        <v>52</v>
      </c>
      <c r="C211" t="s">
        <v>228</v>
      </c>
      <c r="D211">
        <v>0</v>
      </c>
      <c r="E211">
        <f>D211+E210</f>
        <v>10</v>
      </c>
    </row>
    <row r="212" spans="1:36" s="1" customFormat="1" x14ac:dyDescent="0.35">
      <c r="A212" s="1">
        <v>2022</v>
      </c>
      <c r="B212" s="1">
        <v>1</v>
      </c>
      <c r="C212" s="1" t="s">
        <v>133</v>
      </c>
      <c r="D212" s="1">
        <v>1</v>
      </c>
      <c r="E212" s="1">
        <f>D212</f>
        <v>1</v>
      </c>
      <c r="L212" s="1">
        <v>1</v>
      </c>
    </row>
    <row r="213" spans="1:36" x14ac:dyDescent="0.35">
      <c r="A213">
        <v>2022</v>
      </c>
      <c r="B213">
        <v>2</v>
      </c>
      <c r="C213" t="s">
        <v>134</v>
      </c>
      <c r="D213">
        <v>2</v>
      </c>
      <c r="E213">
        <f>D213+E212</f>
        <v>3</v>
      </c>
      <c r="Q213">
        <v>2</v>
      </c>
    </row>
    <row r="214" spans="1:36" x14ac:dyDescent="0.35">
      <c r="A214">
        <v>2022</v>
      </c>
      <c r="B214">
        <v>3</v>
      </c>
      <c r="C214" t="s">
        <v>135</v>
      </c>
      <c r="D214">
        <v>1</v>
      </c>
      <c r="E214">
        <f t="shared" ref="E214:E263" si="4">D214+E213</f>
        <v>4</v>
      </c>
      <c r="L214">
        <v>1</v>
      </c>
    </row>
    <row r="215" spans="1:36" x14ac:dyDescent="0.35">
      <c r="A215">
        <v>2022</v>
      </c>
      <c r="B215">
        <v>4</v>
      </c>
      <c r="C215" t="s">
        <v>136</v>
      </c>
      <c r="D215">
        <v>13</v>
      </c>
      <c r="E215">
        <f t="shared" si="4"/>
        <v>17</v>
      </c>
      <c r="J215">
        <v>12</v>
      </c>
      <c r="L215">
        <v>1</v>
      </c>
    </row>
    <row r="216" spans="1:36" x14ac:dyDescent="0.35">
      <c r="A216">
        <v>2022</v>
      </c>
      <c r="B216">
        <v>5</v>
      </c>
      <c r="C216" t="s">
        <v>137</v>
      </c>
      <c r="D216">
        <v>3</v>
      </c>
      <c r="E216">
        <f t="shared" si="4"/>
        <v>20</v>
      </c>
      <c r="P216">
        <v>1</v>
      </c>
      <c r="AH216">
        <v>2</v>
      </c>
    </row>
    <row r="217" spans="1:36" x14ac:dyDescent="0.35">
      <c r="A217">
        <v>2022</v>
      </c>
      <c r="B217">
        <v>6</v>
      </c>
      <c r="C217" t="s">
        <v>138</v>
      </c>
      <c r="D217">
        <v>8</v>
      </c>
      <c r="E217">
        <f t="shared" si="4"/>
        <v>28</v>
      </c>
      <c r="J217">
        <v>5</v>
      </c>
      <c r="P217">
        <v>1</v>
      </c>
      <c r="Q217">
        <v>1</v>
      </c>
      <c r="AH217">
        <v>1</v>
      </c>
    </row>
    <row r="218" spans="1:36" x14ac:dyDescent="0.35">
      <c r="A218">
        <v>2022</v>
      </c>
      <c r="B218">
        <v>7</v>
      </c>
      <c r="C218" t="s">
        <v>139</v>
      </c>
      <c r="D218">
        <v>5</v>
      </c>
      <c r="E218">
        <f t="shared" si="4"/>
        <v>33</v>
      </c>
      <c r="J218">
        <v>4</v>
      </c>
      <c r="AH218">
        <v>1</v>
      </c>
    </row>
    <row r="219" spans="1:36" x14ac:dyDescent="0.35">
      <c r="A219">
        <v>2022</v>
      </c>
      <c r="B219">
        <v>8</v>
      </c>
      <c r="C219" t="s">
        <v>140</v>
      </c>
      <c r="D219">
        <v>7</v>
      </c>
      <c r="E219">
        <f t="shared" si="4"/>
        <v>40</v>
      </c>
      <c r="J219">
        <v>5</v>
      </c>
      <c r="U219">
        <v>2</v>
      </c>
    </row>
    <row r="220" spans="1:36" x14ac:dyDescent="0.35">
      <c r="A220">
        <v>2022</v>
      </c>
      <c r="B220">
        <v>9</v>
      </c>
      <c r="C220" t="s">
        <v>141</v>
      </c>
      <c r="D220">
        <v>5</v>
      </c>
      <c r="E220">
        <f t="shared" si="4"/>
        <v>45</v>
      </c>
      <c r="AH220">
        <v>1</v>
      </c>
      <c r="AJ220">
        <v>4</v>
      </c>
    </row>
    <row r="221" spans="1:36" x14ac:dyDescent="0.35">
      <c r="A221">
        <v>2022</v>
      </c>
      <c r="B221">
        <v>10</v>
      </c>
      <c r="C221" t="s">
        <v>142</v>
      </c>
      <c r="D221">
        <v>0</v>
      </c>
      <c r="E221">
        <f t="shared" si="4"/>
        <v>45</v>
      </c>
    </row>
    <row r="222" spans="1:36" x14ac:dyDescent="0.35">
      <c r="A222">
        <v>2022</v>
      </c>
      <c r="B222">
        <v>11</v>
      </c>
      <c r="C222" t="s">
        <v>143</v>
      </c>
      <c r="D222">
        <v>6</v>
      </c>
      <c r="E222">
        <f t="shared" si="4"/>
        <v>51</v>
      </c>
      <c r="P222">
        <v>1</v>
      </c>
      <c r="X222">
        <v>1</v>
      </c>
      <c r="AH222">
        <v>4</v>
      </c>
    </row>
    <row r="223" spans="1:36" x14ac:dyDescent="0.35">
      <c r="A223">
        <v>2022</v>
      </c>
      <c r="B223">
        <v>12</v>
      </c>
      <c r="C223" t="s">
        <v>144</v>
      </c>
      <c r="D223">
        <v>0</v>
      </c>
      <c r="E223">
        <f t="shared" si="4"/>
        <v>51</v>
      </c>
    </row>
    <row r="224" spans="1:36" x14ac:dyDescent="0.35">
      <c r="A224">
        <v>2022</v>
      </c>
      <c r="B224">
        <v>13</v>
      </c>
      <c r="C224" t="s">
        <v>145</v>
      </c>
      <c r="D224">
        <v>0</v>
      </c>
      <c r="E224">
        <f t="shared" si="4"/>
        <v>51</v>
      </c>
    </row>
    <row r="225" spans="1:34" x14ac:dyDescent="0.35">
      <c r="A225">
        <v>2022</v>
      </c>
      <c r="B225">
        <v>14</v>
      </c>
      <c r="C225" t="s">
        <v>146</v>
      </c>
      <c r="D225">
        <v>0</v>
      </c>
      <c r="E225">
        <f t="shared" si="4"/>
        <v>51</v>
      </c>
    </row>
    <row r="226" spans="1:34" x14ac:dyDescent="0.35">
      <c r="A226">
        <v>2022</v>
      </c>
      <c r="B226">
        <v>15</v>
      </c>
      <c r="C226" t="s">
        <v>147</v>
      </c>
      <c r="D226">
        <v>0</v>
      </c>
      <c r="E226">
        <f t="shared" si="4"/>
        <v>51</v>
      </c>
    </row>
    <row r="227" spans="1:34" x14ac:dyDescent="0.35">
      <c r="A227">
        <v>2022</v>
      </c>
      <c r="B227">
        <v>16</v>
      </c>
      <c r="C227" t="s">
        <v>148</v>
      </c>
      <c r="D227">
        <v>0</v>
      </c>
      <c r="E227">
        <f t="shared" si="4"/>
        <v>51</v>
      </c>
    </row>
    <row r="228" spans="1:34" x14ac:dyDescent="0.35">
      <c r="A228">
        <v>2022</v>
      </c>
      <c r="B228">
        <v>17</v>
      </c>
      <c r="C228" t="s">
        <v>149</v>
      </c>
      <c r="D228">
        <v>0</v>
      </c>
      <c r="E228">
        <f t="shared" si="4"/>
        <v>51</v>
      </c>
    </row>
    <row r="229" spans="1:34" x14ac:dyDescent="0.35">
      <c r="A229">
        <v>2022</v>
      </c>
      <c r="B229">
        <v>18</v>
      </c>
      <c r="C229" t="s">
        <v>150</v>
      </c>
      <c r="D229">
        <v>0</v>
      </c>
      <c r="E229">
        <f t="shared" si="4"/>
        <v>51</v>
      </c>
    </row>
    <row r="230" spans="1:34" x14ac:dyDescent="0.35">
      <c r="A230">
        <v>2022</v>
      </c>
      <c r="B230">
        <v>19</v>
      </c>
      <c r="C230" t="s">
        <v>202</v>
      </c>
      <c r="E230">
        <f t="shared" si="4"/>
        <v>51</v>
      </c>
    </row>
    <row r="231" spans="1:34" x14ac:dyDescent="0.35">
      <c r="A231">
        <v>2022</v>
      </c>
      <c r="B231">
        <v>20</v>
      </c>
      <c r="C231" t="s">
        <v>202</v>
      </c>
      <c r="E231">
        <f t="shared" si="4"/>
        <v>51</v>
      </c>
    </row>
    <row r="232" spans="1:34" x14ac:dyDescent="0.35">
      <c r="A232">
        <v>2022</v>
      </c>
      <c r="B232">
        <v>21</v>
      </c>
      <c r="C232" t="s">
        <v>202</v>
      </c>
      <c r="E232">
        <f t="shared" si="4"/>
        <v>51</v>
      </c>
    </row>
    <row r="233" spans="1:34" x14ac:dyDescent="0.35">
      <c r="A233">
        <v>2022</v>
      </c>
      <c r="B233">
        <v>22</v>
      </c>
      <c r="C233" t="s">
        <v>202</v>
      </c>
      <c r="E233">
        <f t="shared" si="4"/>
        <v>51</v>
      </c>
    </row>
    <row r="234" spans="1:34" x14ac:dyDescent="0.35">
      <c r="A234">
        <v>2022</v>
      </c>
      <c r="B234">
        <v>23</v>
      </c>
      <c r="C234" t="s">
        <v>202</v>
      </c>
      <c r="D234">
        <v>1</v>
      </c>
      <c r="E234">
        <f t="shared" si="4"/>
        <v>52</v>
      </c>
    </row>
    <row r="235" spans="1:34" x14ac:dyDescent="0.35">
      <c r="A235">
        <v>2022</v>
      </c>
      <c r="B235">
        <v>24</v>
      </c>
      <c r="C235" t="s">
        <v>151</v>
      </c>
      <c r="D235">
        <v>0</v>
      </c>
      <c r="E235">
        <f t="shared" si="4"/>
        <v>52</v>
      </c>
    </row>
    <row r="236" spans="1:34" x14ac:dyDescent="0.35">
      <c r="A236">
        <v>2022</v>
      </c>
      <c r="B236">
        <v>25</v>
      </c>
      <c r="C236" t="s">
        <v>152</v>
      </c>
      <c r="D236">
        <v>1</v>
      </c>
      <c r="E236">
        <f t="shared" si="4"/>
        <v>53</v>
      </c>
      <c r="AH236">
        <v>1</v>
      </c>
    </row>
    <row r="237" spans="1:34" x14ac:dyDescent="0.35">
      <c r="A237">
        <v>2022</v>
      </c>
      <c r="B237">
        <v>26</v>
      </c>
      <c r="C237" t="s">
        <v>153</v>
      </c>
      <c r="D237">
        <v>0</v>
      </c>
      <c r="E237">
        <f t="shared" si="4"/>
        <v>53</v>
      </c>
    </row>
    <row r="238" spans="1:34" x14ac:dyDescent="0.35">
      <c r="A238">
        <v>2022</v>
      </c>
      <c r="B238">
        <v>27</v>
      </c>
      <c r="C238" t="s">
        <v>154</v>
      </c>
      <c r="D238">
        <v>0</v>
      </c>
      <c r="E238">
        <f t="shared" si="4"/>
        <v>53</v>
      </c>
    </row>
    <row r="239" spans="1:34" x14ac:dyDescent="0.35">
      <c r="A239">
        <v>2022</v>
      </c>
      <c r="B239">
        <v>28</v>
      </c>
      <c r="C239" t="s">
        <v>155</v>
      </c>
      <c r="D239">
        <v>0</v>
      </c>
      <c r="E239">
        <f t="shared" si="4"/>
        <v>53</v>
      </c>
    </row>
    <row r="240" spans="1:34" x14ac:dyDescent="0.35">
      <c r="A240">
        <v>2022</v>
      </c>
      <c r="B240">
        <v>29</v>
      </c>
      <c r="C240" t="s">
        <v>156</v>
      </c>
      <c r="D240">
        <v>1</v>
      </c>
      <c r="E240">
        <f t="shared" si="4"/>
        <v>54</v>
      </c>
      <c r="AH240">
        <v>1</v>
      </c>
    </row>
    <row r="241" spans="1:19" x14ac:dyDescent="0.35">
      <c r="A241">
        <v>2022</v>
      </c>
      <c r="B241">
        <v>30</v>
      </c>
      <c r="C241" t="s">
        <v>157</v>
      </c>
      <c r="D241">
        <v>0</v>
      </c>
      <c r="E241">
        <f t="shared" si="4"/>
        <v>54</v>
      </c>
    </row>
    <row r="242" spans="1:19" x14ac:dyDescent="0.35">
      <c r="A242">
        <v>2022</v>
      </c>
      <c r="B242">
        <v>31</v>
      </c>
      <c r="C242" t="s">
        <v>158</v>
      </c>
      <c r="D242">
        <v>0</v>
      </c>
      <c r="E242">
        <f t="shared" si="4"/>
        <v>54</v>
      </c>
    </row>
    <row r="243" spans="1:19" x14ac:dyDescent="0.35">
      <c r="A243">
        <v>2022</v>
      </c>
      <c r="B243">
        <v>32</v>
      </c>
      <c r="C243" t="s">
        <v>159</v>
      </c>
      <c r="D243">
        <v>0</v>
      </c>
      <c r="E243">
        <f t="shared" si="4"/>
        <v>54</v>
      </c>
    </row>
    <row r="244" spans="1:19" x14ac:dyDescent="0.35">
      <c r="A244">
        <v>2022</v>
      </c>
      <c r="B244">
        <v>33</v>
      </c>
      <c r="C244" t="s">
        <v>160</v>
      </c>
      <c r="D244">
        <v>1</v>
      </c>
      <c r="E244">
        <f t="shared" si="4"/>
        <v>55</v>
      </c>
      <c r="S244">
        <v>1</v>
      </c>
    </row>
    <row r="245" spans="1:19" x14ac:dyDescent="0.35">
      <c r="A245">
        <v>2022</v>
      </c>
      <c r="B245">
        <v>34</v>
      </c>
      <c r="C245" t="s">
        <v>161</v>
      </c>
      <c r="D245">
        <v>0</v>
      </c>
      <c r="E245">
        <f t="shared" si="4"/>
        <v>55</v>
      </c>
    </row>
    <row r="246" spans="1:19" x14ac:dyDescent="0.35">
      <c r="A246">
        <v>2022</v>
      </c>
      <c r="B246">
        <v>35</v>
      </c>
      <c r="C246" t="s">
        <v>162</v>
      </c>
      <c r="D246">
        <v>0</v>
      </c>
      <c r="E246">
        <f t="shared" si="4"/>
        <v>55</v>
      </c>
    </row>
    <row r="247" spans="1:19" x14ac:dyDescent="0.35">
      <c r="A247">
        <v>2022</v>
      </c>
      <c r="B247">
        <v>36</v>
      </c>
      <c r="C247" t="s">
        <v>163</v>
      </c>
      <c r="D247">
        <v>0</v>
      </c>
      <c r="E247">
        <f t="shared" si="4"/>
        <v>55</v>
      </c>
    </row>
    <row r="248" spans="1:19" x14ac:dyDescent="0.35">
      <c r="A248">
        <v>2022</v>
      </c>
      <c r="B248">
        <v>37</v>
      </c>
      <c r="C248" t="s">
        <v>164</v>
      </c>
      <c r="D248">
        <v>0</v>
      </c>
      <c r="E248">
        <f t="shared" si="4"/>
        <v>55</v>
      </c>
    </row>
    <row r="249" spans="1:19" x14ac:dyDescent="0.35">
      <c r="A249">
        <v>2022</v>
      </c>
      <c r="B249">
        <v>38</v>
      </c>
      <c r="C249" t="s">
        <v>165</v>
      </c>
      <c r="D249">
        <v>0</v>
      </c>
      <c r="E249">
        <f t="shared" si="4"/>
        <v>55</v>
      </c>
    </row>
    <row r="250" spans="1:19" x14ac:dyDescent="0.35">
      <c r="A250">
        <v>2022</v>
      </c>
      <c r="B250">
        <v>39</v>
      </c>
      <c r="C250" t="s">
        <v>166</v>
      </c>
      <c r="D250">
        <v>0</v>
      </c>
      <c r="E250">
        <f t="shared" si="4"/>
        <v>55</v>
      </c>
    </row>
    <row r="251" spans="1:19" x14ac:dyDescent="0.35">
      <c r="A251">
        <v>2022</v>
      </c>
      <c r="B251">
        <v>40</v>
      </c>
      <c r="C251" t="s">
        <v>167</v>
      </c>
      <c r="D251">
        <v>0</v>
      </c>
      <c r="E251">
        <f t="shared" si="4"/>
        <v>55</v>
      </c>
    </row>
    <row r="252" spans="1:19" x14ac:dyDescent="0.35">
      <c r="A252">
        <v>2022</v>
      </c>
      <c r="B252">
        <v>41</v>
      </c>
      <c r="C252" t="s">
        <v>168</v>
      </c>
      <c r="D252">
        <v>0</v>
      </c>
      <c r="E252">
        <f t="shared" si="4"/>
        <v>55</v>
      </c>
    </row>
    <row r="253" spans="1:19" x14ac:dyDescent="0.35">
      <c r="A253">
        <v>2022</v>
      </c>
      <c r="B253">
        <v>42</v>
      </c>
      <c r="C253" t="s">
        <v>169</v>
      </c>
      <c r="D253">
        <v>0</v>
      </c>
      <c r="E253">
        <f t="shared" si="4"/>
        <v>55</v>
      </c>
    </row>
    <row r="254" spans="1:19" x14ac:dyDescent="0.35">
      <c r="A254">
        <v>2022</v>
      </c>
      <c r="B254">
        <v>43</v>
      </c>
      <c r="C254" t="s">
        <v>170</v>
      </c>
      <c r="D254">
        <v>0</v>
      </c>
      <c r="E254">
        <f t="shared" si="4"/>
        <v>55</v>
      </c>
    </row>
    <row r="255" spans="1:19" x14ac:dyDescent="0.35">
      <c r="A255">
        <v>2022</v>
      </c>
      <c r="B255">
        <v>44</v>
      </c>
      <c r="C255" t="s">
        <v>171</v>
      </c>
      <c r="D255">
        <v>0</v>
      </c>
      <c r="E255">
        <f t="shared" si="4"/>
        <v>55</v>
      </c>
    </row>
    <row r="256" spans="1:19" x14ac:dyDescent="0.35">
      <c r="A256">
        <v>2022</v>
      </c>
      <c r="B256">
        <v>45</v>
      </c>
      <c r="C256" t="s">
        <v>172</v>
      </c>
      <c r="D256">
        <v>0</v>
      </c>
      <c r="E256">
        <f t="shared" si="4"/>
        <v>55</v>
      </c>
    </row>
    <row r="257" spans="1:40" x14ac:dyDescent="0.35">
      <c r="A257">
        <v>2022</v>
      </c>
      <c r="B257">
        <v>46</v>
      </c>
      <c r="C257" t="s">
        <v>173</v>
      </c>
      <c r="D257">
        <v>0</v>
      </c>
      <c r="E257">
        <f t="shared" si="4"/>
        <v>55</v>
      </c>
    </row>
    <row r="258" spans="1:40" x14ac:dyDescent="0.35">
      <c r="A258">
        <v>2022</v>
      </c>
      <c r="B258">
        <v>47</v>
      </c>
      <c r="C258" t="s">
        <v>174</v>
      </c>
      <c r="D258">
        <v>0</v>
      </c>
      <c r="E258">
        <f t="shared" si="4"/>
        <v>55</v>
      </c>
    </row>
    <row r="259" spans="1:40" x14ac:dyDescent="0.35">
      <c r="A259">
        <v>2022</v>
      </c>
      <c r="B259">
        <v>48</v>
      </c>
      <c r="C259" t="s">
        <v>175</v>
      </c>
      <c r="D259">
        <v>0</v>
      </c>
      <c r="E259">
        <f t="shared" si="4"/>
        <v>55</v>
      </c>
    </row>
    <row r="260" spans="1:40" x14ac:dyDescent="0.35">
      <c r="A260">
        <v>2022</v>
      </c>
      <c r="B260">
        <v>49</v>
      </c>
      <c r="C260" t="s">
        <v>176</v>
      </c>
      <c r="D260">
        <v>0</v>
      </c>
      <c r="E260">
        <f t="shared" si="4"/>
        <v>55</v>
      </c>
    </row>
    <row r="261" spans="1:40" x14ac:dyDescent="0.35">
      <c r="A261">
        <v>2022</v>
      </c>
      <c r="B261">
        <v>50</v>
      </c>
      <c r="C261" t="s">
        <v>177</v>
      </c>
      <c r="D261">
        <v>0</v>
      </c>
      <c r="E261">
        <f t="shared" si="4"/>
        <v>55</v>
      </c>
    </row>
    <row r="262" spans="1:40" x14ac:dyDescent="0.35">
      <c r="A262">
        <v>2022</v>
      </c>
      <c r="B262">
        <v>51</v>
      </c>
      <c r="C262" t="s">
        <v>178</v>
      </c>
      <c r="D262">
        <v>8</v>
      </c>
      <c r="E262">
        <f t="shared" si="4"/>
        <v>63</v>
      </c>
      <c r="J262">
        <v>8</v>
      </c>
    </row>
    <row r="263" spans="1:40" x14ac:dyDescent="0.35">
      <c r="A263">
        <v>2022</v>
      </c>
      <c r="B263">
        <v>52</v>
      </c>
      <c r="C263" t="s">
        <v>179</v>
      </c>
      <c r="D263">
        <v>0</v>
      </c>
      <c r="E263">
        <f t="shared" si="4"/>
        <v>63</v>
      </c>
    </row>
    <row r="264" spans="1:40" s="1" customFormat="1" x14ac:dyDescent="0.35">
      <c r="A264" s="1">
        <v>2023</v>
      </c>
      <c r="B264" s="1">
        <v>1</v>
      </c>
      <c r="C264" s="1" t="s">
        <v>85</v>
      </c>
      <c r="D264" s="1">
        <v>1</v>
      </c>
      <c r="E264" s="1">
        <f>D264</f>
        <v>1</v>
      </c>
      <c r="AE264" s="1">
        <v>1</v>
      </c>
    </row>
    <row r="265" spans="1:40" x14ac:dyDescent="0.35">
      <c r="A265">
        <v>2023</v>
      </c>
      <c r="B265">
        <v>2</v>
      </c>
      <c r="C265" t="s">
        <v>84</v>
      </c>
      <c r="D265">
        <v>2</v>
      </c>
      <c r="E265">
        <f>E264+D265</f>
        <v>3</v>
      </c>
      <c r="J265">
        <v>2</v>
      </c>
    </row>
    <row r="266" spans="1:40" x14ac:dyDescent="0.35">
      <c r="A266">
        <v>2023</v>
      </c>
      <c r="B266">
        <v>3</v>
      </c>
      <c r="C266" t="s">
        <v>86</v>
      </c>
      <c r="D266">
        <v>2</v>
      </c>
      <c r="E266">
        <f>E265+D266</f>
        <v>5</v>
      </c>
      <c r="J266">
        <v>1</v>
      </c>
      <c r="Q266">
        <v>1</v>
      </c>
    </row>
    <row r="267" spans="1:40" x14ac:dyDescent="0.35">
      <c r="A267">
        <v>2023</v>
      </c>
      <c r="B267">
        <v>4</v>
      </c>
      <c r="C267" t="s">
        <v>87</v>
      </c>
      <c r="D267">
        <v>1</v>
      </c>
      <c r="E267">
        <f>E266+D267</f>
        <v>6</v>
      </c>
      <c r="AK267">
        <v>1</v>
      </c>
    </row>
    <row r="268" spans="1:40" x14ac:dyDescent="0.35">
      <c r="A268">
        <v>2023</v>
      </c>
      <c r="B268">
        <v>5</v>
      </c>
      <c r="C268" t="s">
        <v>88</v>
      </c>
      <c r="D268">
        <v>18</v>
      </c>
      <c r="E268">
        <f t="shared" ref="E268:E315" si="5">E267+D268</f>
        <v>24</v>
      </c>
      <c r="I268">
        <v>1</v>
      </c>
      <c r="L268">
        <v>1</v>
      </c>
      <c r="O268">
        <v>1</v>
      </c>
      <c r="P268">
        <v>3</v>
      </c>
      <c r="Q268">
        <v>3</v>
      </c>
      <c r="AB268">
        <v>1</v>
      </c>
      <c r="AE268">
        <v>2</v>
      </c>
      <c r="AH268">
        <v>4</v>
      </c>
      <c r="AN268">
        <v>2</v>
      </c>
    </row>
    <row r="269" spans="1:40" x14ac:dyDescent="0.35">
      <c r="A269">
        <v>2023</v>
      </c>
      <c r="B269">
        <v>6</v>
      </c>
      <c r="C269" t="s">
        <v>89</v>
      </c>
      <c r="D269">
        <v>4</v>
      </c>
      <c r="E269">
        <f t="shared" si="5"/>
        <v>28</v>
      </c>
      <c r="AH269">
        <v>4</v>
      </c>
    </row>
    <row r="270" spans="1:40" x14ac:dyDescent="0.35">
      <c r="A270">
        <v>2023</v>
      </c>
      <c r="B270">
        <v>7</v>
      </c>
      <c r="C270" t="s">
        <v>90</v>
      </c>
      <c r="D270">
        <v>0</v>
      </c>
      <c r="E270">
        <f t="shared" si="5"/>
        <v>28</v>
      </c>
    </row>
    <row r="271" spans="1:40" x14ac:dyDescent="0.35">
      <c r="A271">
        <v>2023</v>
      </c>
      <c r="B271">
        <v>8</v>
      </c>
      <c r="C271" t="s">
        <v>91</v>
      </c>
      <c r="D271">
        <v>4</v>
      </c>
      <c r="E271">
        <f t="shared" si="5"/>
        <v>32</v>
      </c>
      <c r="J271">
        <v>4</v>
      </c>
    </row>
    <row r="272" spans="1:40" x14ac:dyDescent="0.35">
      <c r="A272">
        <v>2023</v>
      </c>
      <c r="B272">
        <v>9</v>
      </c>
      <c r="C272" t="s">
        <v>92</v>
      </c>
      <c r="D272">
        <v>1</v>
      </c>
      <c r="E272">
        <f t="shared" si="5"/>
        <v>33</v>
      </c>
      <c r="AN272">
        <v>1</v>
      </c>
    </row>
    <row r="273" spans="1:40" x14ac:dyDescent="0.35">
      <c r="A273">
        <v>2023</v>
      </c>
      <c r="B273">
        <v>10</v>
      </c>
      <c r="C273" t="s">
        <v>93</v>
      </c>
      <c r="D273">
        <v>1</v>
      </c>
      <c r="E273">
        <f t="shared" si="5"/>
        <v>34</v>
      </c>
      <c r="AH273">
        <v>1</v>
      </c>
    </row>
    <row r="274" spans="1:40" x14ac:dyDescent="0.35">
      <c r="A274">
        <v>2023</v>
      </c>
      <c r="B274">
        <v>11</v>
      </c>
      <c r="C274" t="s">
        <v>94</v>
      </c>
      <c r="D274">
        <v>1</v>
      </c>
      <c r="E274">
        <f t="shared" si="5"/>
        <v>35</v>
      </c>
      <c r="AE274">
        <v>1</v>
      </c>
    </row>
    <row r="275" spans="1:40" x14ac:dyDescent="0.35">
      <c r="A275">
        <v>2023</v>
      </c>
      <c r="B275">
        <v>12</v>
      </c>
      <c r="C275" t="s">
        <v>95</v>
      </c>
      <c r="D275">
        <v>3</v>
      </c>
      <c r="E275">
        <f t="shared" si="5"/>
        <v>38</v>
      </c>
      <c r="AH275">
        <v>3</v>
      </c>
    </row>
    <row r="276" spans="1:40" x14ac:dyDescent="0.35">
      <c r="A276">
        <v>2023</v>
      </c>
      <c r="B276">
        <v>13</v>
      </c>
      <c r="C276" t="s">
        <v>96</v>
      </c>
      <c r="D276">
        <v>1</v>
      </c>
      <c r="E276">
        <f t="shared" si="5"/>
        <v>39</v>
      </c>
      <c r="AH276">
        <v>1</v>
      </c>
    </row>
    <row r="277" spans="1:40" x14ac:dyDescent="0.35">
      <c r="A277">
        <v>2023</v>
      </c>
      <c r="B277">
        <v>14</v>
      </c>
      <c r="C277" t="s">
        <v>97</v>
      </c>
      <c r="D277">
        <v>3</v>
      </c>
      <c r="E277">
        <f t="shared" si="5"/>
        <v>42</v>
      </c>
      <c r="J277">
        <v>2</v>
      </c>
      <c r="AE277">
        <v>1</v>
      </c>
    </row>
    <row r="278" spans="1:40" x14ac:dyDescent="0.35">
      <c r="A278">
        <v>2023</v>
      </c>
      <c r="B278">
        <v>15</v>
      </c>
      <c r="C278" t="s">
        <v>98</v>
      </c>
      <c r="D278">
        <v>1</v>
      </c>
      <c r="E278">
        <f t="shared" si="5"/>
        <v>43</v>
      </c>
      <c r="AN278">
        <v>1</v>
      </c>
    </row>
    <row r="279" spans="1:40" x14ac:dyDescent="0.35">
      <c r="A279">
        <v>2023</v>
      </c>
      <c r="B279">
        <v>16</v>
      </c>
      <c r="C279" t="s">
        <v>99</v>
      </c>
      <c r="D279">
        <v>0</v>
      </c>
      <c r="E279">
        <f t="shared" si="5"/>
        <v>43</v>
      </c>
    </row>
    <row r="280" spans="1:40" x14ac:dyDescent="0.35">
      <c r="A280">
        <v>2023</v>
      </c>
      <c r="B280">
        <v>17</v>
      </c>
      <c r="C280" t="s">
        <v>100</v>
      </c>
      <c r="D280">
        <v>2</v>
      </c>
      <c r="E280">
        <f t="shared" si="5"/>
        <v>45</v>
      </c>
      <c r="AN280">
        <v>2</v>
      </c>
    </row>
    <row r="281" spans="1:40" x14ac:dyDescent="0.35">
      <c r="A281">
        <v>2023</v>
      </c>
      <c r="B281">
        <v>18</v>
      </c>
      <c r="C281" t="s">
        <v>101</v>
      </c>
      <c r="D281">
        <v>0</v>
      </c>
      <c r="E281">
        <f t="shared" si="5"/>
        <v>45</v>
      </c>
    </row>
    <row r="282" spans="1:40" x14ac:dyDescent="0.35">
      <c r="A282">
        <v>2023</v>
      </c>
      <c r="B282">
        <v>19</v>
      </c>
      <c r="C282" t="s">
        <v>102</v>
      </c>
      <c r="D282">
        <v>0</v>
      </c>
      <c r="E282">
        <f t="shared" si="5"/>
        <v>45</v>
      </c>
    </row>
    <row r="283" spans="1:40" x14ac:dyDescent="0.35">
      <c r="A283">
        <v>2023</v>
      </c>
      <c r="B283">
        <v>20</v>
      </c>
      <c r="C283" t="s">
        <v>103</v>
      </c>
      <c r="D283">
        <v>1</v>
      </c>
      <c r="E283">
        <f t="shared" si="5"/>
        <v>46</v>
      </c>
      <c r="AH283">
        <v>1</v>
      </c>
    </row>
    <row r="284" spans="1:40" x14ac:dyDescent="0.35">
      <c r="A284">
        <v>2023</v>
      </c>
      <c r="B284">
        <v>21</v>
      </c>
      <c r="C284" t="s">
        <v>104</v>
      </c>
      <c r="D284">
        <v>0</v>
      </c>
      <c r="E284">
        <f t="shared" si="5"/>
        <v>46</v>
      </c>
    </row>
    <row r="285" spans="1:40" x14ac:dyDescent="0.35">
      <c r="A285">
        <v>2023</v>
      </c>
      <c r="B285">
        <v>22</v>
      </c>
      <c r="C285" t="s">
        <v>105</v>
      </c>
      <c r="D285">
        <v>1</v>
      </c>
      <c r="E285">
        <f t="shared" si="5"/>
        <v>47</v>
      </c>
      <c r="Q285">
        <v>1</v>
      </c>
    </row>
    <row r="286" spans="1:40" x14ac:dyDescent="0.35">
      <c r="A286">
        <v>2023</v>
      </c>
      <c r="B286">
        <v>23</v>
      </c>
      <c r="C286" t="s">
        <v>106</v>
      </c>
      <c r="D286">
        <v>0</v>
      </c>
      <c r="E286">
        <f t="shared" si="5"/>
        <v>47</v>
      </c>
    </row>
    <row r="287" spans="1:40" x14ac:dyDescent="0.35">
      <c r="A287">
        <v>2023</v>
      </c>
      <c r="B287">
        <v>24</v>
      </c>
      <c r="C287" t="s">
        <v>107</v>
      </c>
      <c r="D287">
        <v>0</v>
      </c>
      <c r="E287">
        <f t="shared" si="5"/>
        <v>47</v>
      </c>
    </row>
    <row r="288" spans="1:40" x14ac:dyDescent="0.35">
      <c r="A288">
        <v>2023</v>
      </c>
      <c r="B288">
        <v>25</v>
      </c>
      <c r="C288" t="s">
        <v>108</v>
      </c>
      <c r="D288">
        <v>0</v>
      </c>
      <c r="E288">
        <f t="shared" si="5"/>
        <v>47</v>
      </c>
    </row>
    <row r="289" spans="1:34" x14ac:dyDescent="0.35">
      <c r="A289">
        <v>2023</v>
      </c>
      <c r="B289">
        <v>26</v>
      </c>
      <c r="C289" t="s">
        <v>109</v>
      </c>
      <c r="D289">
        <v>1</v>
      </c>
      <c r="E289">
        <f t="shared" si="5"/>
        <v>48</v>
      </c>
      <c r="AH289">
        <v>1</v>
      </c>
    </row>
    <row r="290" spans="1:34" x14ac:dyDescent="0.35">
      <c r="A290">
        <v>2023</v>
      </c>
      <c r="B290">
        <v>27</v>
      </c>
      <c r="C290" t="s">
        <v>229</v>
      </c>
      <c r="D290">
        <v>0</v>
      </c>
      <c r="E290">
        <f t="shared" si="5"/>
        <v>48</v>
      </c>
    </row>
    <row r="291" spans="1:34" x14ac:dyDescent="0.35">
      <c r="A291">
        <v>2023</v>
      </c>
      <c r="B291">
        <v>28</v>
      </c>
      <c r="C291" t="s">
        <v>230</v>
      </c>
      <c r="D291">
        <v>0</v>
      </c>
      <c r="E291">
        <f t="shared" si="5"/>
        <v>48</v>
      </c>
    </row>
    <row r="292" spans="1:34" x14ac:dyDescent="0.35">
      <c r="A292">
        <v>2023</v>
      </c>
      <c r="B292">
        <v>29</v>
      </c>
      <c r="C292" t="s">
        <v>110</v>
      </c>
      <c r="D292">
        <v>0</v>
      </c>
      <c r="E292">
        <f t="shared" si="5"/>
        <v>48</v>
      </c>
    </row>
    <row r="293" spans="1:34" x14ac:dyDescent="0.35">
      <c r="A293">
        <v>2023</v>
      </c>
      <c r="B293">
        <v>30</v>
      </c>
      <c r="C293" t="s">
        <v>111</v>
      </c>
      <c r="D293">
        <v>1</v>
      </c>
      <c r="E293">
        <f t="shared" si="5"/>
        <v>49</v>
      </c>
      <c r="AH293">
        <v>1</v>
      </c>
    </row>
    <row r="294" spans="1:34" x14ac:dyDescent="0.35">
      <c r="A294">
        <v>2023</v>
      </c>
      <c r="B294">
        <v>31</v>
      </c>
      <c r="C294" t="s">
        <v>112</v>
      </c>
      <c r="D294">
        <v>0</v>
      </c>
      <c r="E294">
        <f t="shared" si="5"/>
        <v>49</v>
      </c>
    </row>
    <row r="295" spans="1:34" x14ac:dyDescent="0.35">
      <c r="A295">
        <v>2023</v>
      </c>
      <c r="B295">
        <v>32</v>
      </c>
      <c r="C295" t="s">
        <v>113</v>
      </c>
      <c r="D295">
        <v>0</v>
      </c>
      <c r="E295">
        <f t="shared" si="5"/>
        <v>49</v>
      </c>
    </row>
    <row r="296" spans="1:34" x14ac:dyDescent="0.35">
      <c r="A296">
        <v>2023</v>
      </c>
      <c r="B296">
        <v>33</v>
      </c>
      <c r="C296" t="s">
        <v>114</v>
      </c>
      <c r="D296">
        <v>0</v>
      </c>
      <c r="E296">
        <f t="shared" si="5"/>
        <v>49</v>
      </c>
    </row>
    <row r="297" spans="1:34" x14ac:dyDescent="0.35">
      <c r="A297">
        <v>2023</v>
      </c>
      <c r="B297">
        <v>34</v>
      </c>
      <c r="C297" t="s">
        <v>115</v>
      </c>
      <c r="D297">
        <v>0</v>
      </c>
      <c r="E297">
        <f t="shared" si="5"/>
        <v>49</v>
      </c>
    </row>
    <row r="298" spans="1:34" x14ac:dyDescent="0.35">
      <c r="A298">
        <v>2023</v>
      </c>
      <c r="B298">
        <v>35</v>
      </c>
      <c r="C298" t="s">
        <v>116</v>
      </c>
      <c r="D298">
        <v>0</v>
      </c>
      <c r="E298">
        <f t="shared" si="5"/>
        <v>49</v>
      </c>
    </row>
    <row r="299" spans="1:34" x14ac:dyDescent="0.35">
      <c r="A299">
        <v>2023</v>
      </c>
      <c r="B299">
        <v>36</v>
      </c>
      <c r="C299" t="s">
        <v>117</v>
      </c>
      <c r="D299">
        <v>0</v>
      </c>
      <c r="E299">
        <f t="shared" si="5"/>
        <v>49</v>
      </c>
    </row>
    <row r="300" spans="1:34" x14ac:dyDescent="0.35">
      <c r="A300">
        <v>2023</v>
      </c>
      <c r="B300">
        <v>37</v>
      </c>
      <c r="C300" t="s">
        <v>118</v>
      </c>
      <c r="D300">
        <v>0</v>
      </c>
      <c r="E300">
        <f t="shared" si="5"/>
        <v>49</v>
      </c>
    </row>
    <row r="301" spans="1:34" x14ac:dyDescent="0.35">
      <c r="A301">
        <v>2023</v>
      </c>
      <c r="B301">
        <v>38</v>
      </c>
      <c r="C301" t="s">
        <v>202</v>
      </c>
      <c r="E301">
        <f t="shared" si="5"/>
        <v>49</v>
      </c>
    </row>
    <row r="302" spans="1:34" x14ac:dyDescent="0.35">
      <c r="A302">
        <v>2023</v>
      </c>
      <c r="B302">
        <v>39</v>
      </c>
      <c r="C302" t="s">
        <v>119</v>
      </c>
      <c r="D302">
        <v>0</v>
      </c>
      <c r="E302">
        <f t="shared" si="5"/>
        <v>49</v>
      </c>
    </row>
    <row r="303" spans="1:34" x14ac:dyDescent="0.35">
      <c r="A303">
        <v>2023</v>
      </c>
      <c r="B303">
        <v>40</v>
      </c>
      <c r="C303" t="s">
        <v>121</v>
      </c>
      <c r="D303">
        <v>0</v>
      </c>
      <c r="E303">
        <f t="shared" si="5"/>
        <v>49</v>
      </c>
    </row>
    <row r="304" spans="1:34" x14ac:dyDescent="0.35">
      <c r="A304">
        <v>2023</v>
      </c>
      <c r="B304">
        <v>41</v>
      </c>
      <c r="C304" t="s">
        <v>122</v>
      </c>
      <c r="D304">
        <v>1</v>
      </c>
      <c r="E304">
        <f t="shared" si="5"/>
        <v>50</v>
      </c>
      <c r="AH304">
        <v>1</v>
      </c>
    </row>
    <row r="305" spans="1:43" x14ac:dyDescent="0.35">
      <c r="A305">
        <v>2023</v>
      </c>
      <c r="B305">
        <v>42</v>
      </c>
      <c r="C305" t="s">
        <v>123</v>
      </c>
      <c r="D305">
        <v>0</v>
      </c>
      <c r="E305">
        <f t="shared" si="5"/>
        <v>50</v>
      </c>
    </row>
    <row r="306" spans="1:43" x14ac:dyDescent="0.35">
      <c r="A306">
        <v>2023</v>
      </c>
      <c r="B306">
        <v>43</v>
      </c>
      <c r="C306" t="s">
        <v>124</v>
      </c>
      <c r="D306">
        <v>1</v>
      </c>
      <c r="E306">
        <f t="shared" si="5"/>
        <v>51</v>
      </c>
      <c r="AH306">
        <v>1</v>
      </c>
    </row>
    <row r="307" spans="1:43" x14ac:dyDescent="0.35">
      <c r="A307">
        <v>2023</v>
      </c>
      <c r="B307">
        <v>44</v>
      </c>
      <c r="C307" t="s">
        <v>120</v>
      </c>
      <c r="D307">
        <v>0</v>
      </c>
      <c r="E307">
        <f t="shared" si="5"/>
        <v>51</v>
      </c>
    </row>
    <row r="308" spans="1:43" x14ac:dyDescent="0.35">
      <c r="A308">
        <v>2023</v>
      </c>
      <c r="B308">
        <v>45</v>
      </c>
      <c r="C308" t="s">
        <v>125</v>
      </c>
      <c r="D308">
        <v>0</v>
      </c>
      <c r="E308">
        <f t="shared" si="5"/>
        <v>51</v>
      </c>
    </row>
    <row r="309" spans="1:43" x14ac:dyDescent="0.35">
      <c r="A309">
        <v>2023</v>
      </c>
      <c r="B309">
        <v>46</v>
      </c>
      <c r="C309" t="s">
        <v>126</v>
      </c>
      <c r="D309">
        <v>0</v>
      </c>
      <c r="E309">
        <f t="shared" si="5"/>
        <v>51</v>
      </c>
    </row>
    <row r="310" spans="1:43" x14ac:dyDescent="0.35">
      <c r="A310">
        <v>2023</v>
      </c>
      <c r="B310">
        <v>47</v>
      </c>
      <c r="C310" t="s">
        <v>127</v>
      </c>
      <c r="D310">
        <v>0</v>
      </c>
      <c r="E310">
        <f t="shared" si="5"/>
        <v>51</v>
      </c>
    </row>
    <row r="311" spans="1:43" x14ac:dyDescent="0.35">
      <c r="A311">
        <v>2023</v>
      </c>
      <c r="B311">
        <v>48</v>
      </c>
      <c r="C311" t="s">
        <v>128</v>
      </c>
      <c r="D311">
        <v>1</v>
      </c>
      <c r="E311">
        <f t="shared" si="5"/>
        <v>52</v>
      </c>
      <c r="AH311">
        <v>1</v>
      </c>
    </row>
    <row r="312" spans="1:43" x14ac:dyDescent="0.35">
      <c r="A312">
        <v>2023</v>
      </c>
      <c r="B312">
        <v>49</v>
      </c>
      <c r="C312" t="s">
        <v>130</v>
      </c>
      <c r="D312">
        <v>0</v>
      </c>
      <c r="E312">
        <f t="shared" si="5"/>
        <v>52</v>
      </c>
    </row>
    <row r="313" spans="1:43" x14ac:dyDescent="0.35">
      <c r="A313">
        <v>2023</v>
      </c>
      <c r="B313">
        <v>50</v>
      </c>
      <c r="C313" t="s">
        <v>129</v>
      </c>
      <c r="D313">
        <v>0</v>
      </c>
      <c r="E313">
        <f t="shared" si="5"/>
        <v>52</v>
      </c>
    </row>
    <row r="314" spans="1:43" x14ac:dyDescent="0.35">
      <c r="A314">
        <v>2023</v>
      </c>
      <c r="B314">
        <v>51</v>
      </c>
      <c r="C314" t="s">
        <v>131</v>
      </c>
      <c r="D314">
        <v>2</v>
      </c>
      <c r="E314">
        <f t="shared" si="5"/>
        <v>54</v>
      </c>
      <c r="AH314">
        <v>1</v>
      </c>
      <c r="AK314">
        <v>1</v>
      </c>
    </row>
    <row r="315" spans="1:43" x14ac:dyDescent="0.35">
      <c r="A315">
        <v>2023</v>
      </c>
      <c r="B315">
        <v>52</v>
      </c>
      <c r="C315" t="s">
        <v>132</v>
      </c>
      <c r="D315">
        <v>2</v>
      </c>
      <c r="E315">
        <f t="shared" si="5"/>
        <v>56</v>
      </c>
      <c r="J315">
        <v>1</v>
      </c>
      <c r="O315">
        <v>1</v>
      </c>
    </row>
    <row r="316" spans="1:43" s="1" customFormat="1" x14ac:dyDescent="0.35">
      <c r="A316" s="1">
        <v>2024</v>
      </c>
      <c r="B316" s="1">
        <v>1</v>
      </c>
      <c r="C316" s="1" t="s">
        <v>3</v>
      </c>
      <c r="D316" s="1">
        <v>2</v>
      </c>
      <c r="E316" s="1">
        <f>D316</f>
        <v>2</v>
      </c>
      <c r="J316" s="1">
        <v>1</v>
      </c>
      <c r="V316" s="1">
        <v>1</v>
      </c>
      <c r="AQ316"/>
    </row>
    <row r="317" spans="1:43" x14ac:dyDescent="0.35">
      <c r="A317">
        <v>2024</v>
      </c>
      <c r="B317">
        <v>2</v>
      </c>
      <c r="C317" t="s">
        <v>45</v>
      </c>
      <c r="D317">
        <v>2</v>
      </c>
      <c r="E317">
        <f>E316+D317</f>
        <v>4</v>
      </c>
      <c r="I317">
        <v>1</v>
      </c>
      <c r="J317">
        <v>1</v>
      </c>
    </row>
    <row r="318" spans="1:43" x14ac:dyDescent="0.35">
      <c r="A318">
        <v>2024</v>
      </c>
      <c r="B318">
        <v>3</v>
      </c>
      <c r="C318" t="s">
        <v>46</v>
      </c>
      <c r="D318">
        <v>0</v>
      </c>
      <c r="E318">
        <f t="shared" ref="E318:E367" si="6">E317+D318</f>
        <v>4</v>
      </c>
    </row>
    <row r="319" spans="1:43" x14ac:dyDescent="0.35">
      <c r="A319">
        <v>2024</v>
      </c>
      <c r="B319">
        <v>4</v>
      </c>
      <c r="C319" t="s">
        <v>47</v>
      </c>
      <c r="D319">
        <v>1</v>
      </c>
      <c r="E319">
        <f t="shared" si="6"/>
        <v>5</v>
      </c>
      <c r="P319">
        <v>1</v>
      </c>
    </row>
    <row r="320" spans="1:43" x14ac:dyDescent="0.35">
      <c r="A320">
        <v>2024</v>
      </c>
      <c r="B320">
        <v>5</v>
      </c>
      <c r="C320" t="s">
        <v>48</v>
      </c>
      <c r="D320">
        <v>2</v>
      </c>
      <c r="E320">
        <f t="shared" si="6"/>
        <v>7</v>
      </c>
      <c r="L320">
        <v>2</v>
      </c>
    </row>
    <row r="321" spans="1:40" x14ac:dyDescent="0.35">
      <c r="A321">
        <v>2024</v>
      </c>
      <c r="B321">
        <v>6</v>
      </c>
      <c r="C321" t="s">
        <v>49</v>
      </c>
      <c r="D321">
        <v>2</v>
      </c>
      <c r="E321">
        <f t="shared" si="6"/>
        <v>9</v>
      </c>
      <c r="L321">
        <v>2</v>
      </c>
    </row>
    <row r="322" spans="1:40" x14ac:dyDescent="0.35">
      <c r="A322">
        <v>2024</v>
      </c>
      <c r="B322">
        <v>7</v>
      </c>
      <c r="C322" t="s">
        <v>50</v>
      </c>
      <c r="D322">
        <v>2</v>
      </c>
      <c r="E322">
        <f t="shared" si="6"/>
        <v>11</v>
      </c>
      <c r="P322">
        <v>1</v>
      </c>
      <c r="AH322">
        <v>1</v>
      </c>
    </row>
    <row r="323" spans="1:40" x14ac:dyDescent="0.35">
      <c r="A323">
        <v>2024</v>
      </c>
      <c r="B323">
        <v>8</v>
      </c>
      <c r="C323" t="s">
        <v>51</v>
      </c>
      <c r="D323">
        <v>6</v>
      </c>
      <c r="E323">
        <f t="shared" si="6"/>
        <v>17</v>
      </c>
      <c r="P323">
        <v>1</v>
      </c>
      <c r="X323">
        <v>3</v>
      </c>
      <c r="AE323">
        <v>1</v>
      </c>
      <c r="AN323">
        <v>1</v>
      </c>
    </row>
    <row r="324" spans="1:40" x14ac:dyDescent="0.35">
      <c r="A324">
        <v>2024</v>
      </c>
      <c r="B324">
        <v>9</v>
      </c>
      <c r="C324" t="s">
        <v>52</v>
      </c>
      <c r="D324">
        <v>8</v>
      </c>
      <c r="E324">
        <f t="shared" si="6"/>
        <v>25</v>
      </c>
      <c r="L324">
        <v>2</v>
      </c>
      <c r="P324">
        <v>1</v>
      </c>
      <c r="Q324">
        <v>1</v>
      </c>
      <c r="AB324">
        <v>1</v>
      </c>
      <c r="AG324">
        <v>1</v>
      </c>
      <c r="AH324">
        <v>2</v>
      </c>
    </row>
    <row r="325" spans="1:40" x14ac:dyDescent="0.35">
      <c r="A325">
        <v>2024</v>
      </c>
      <c r="B325">
        <v>10</v>
      </c>
      <c r="C325" t="s">
        <v>53</v>
      </c>
      <c r="D325">
        <v>5</v>
      </c>
      <c r="E325">
        <f t="shared" si="6"/>
        <v>30</v>
      </c>
      <c r="J325">
        <v>1</v>
      </c>
      <c r="L325">
        <v>2</v>
      </c>
      <c r="P325">
        <v>1</v>
      </c>
      <c r="AN325">
        <v>1</v>
      </c>
    </row>
    <row r="326" spans="1:40" x14ac:dyDescent="0.35">
      <c r="A326">
        <v>2024</v>
      </c>
      <c r="B326">
        <v>11</v>
      </c>
      <c r="C326" t="s">
        <v>54</v>
      </c>
      <c r="D326">
        <v>1</v>
      </c>
      <c r="E326">
        <f t="shared" si="6"/>
        <v>31</v>
      </c>
      <c r="AN326">
        <v>1</v>
      </c>
    </row>
    <row r="327" spans="1:40" x14ac:dyDescent="0.35">
      <c r="A327">
        <v>2024</v>
      </c>
      <c r="B327">
        <v>12</v>
      </c>
      <c r="C327" t="s">
        <v>55</v>
      </c>
      <c r="D327">
        <v>1</v>
      </c>
      <c r="E327">
        <f t="shared" si="6"/>
        <v>32</v>
      </c>
      <c r="P327">
        <v>1</v>
      </c>
    </row>
    <row r="328" spans="1:40" x14ac:dyDescent="0.35">
      <c r="A328">
        <v>2024</v>
      </c>
      <c r="B328">
        <v>13</v>
      </c>
      <c r="C328" t="s">
        <v>56</v>
      </c>
      <c r="D328">
        <v>0</v>
      </c>
      <c r="E328">
        <f t="shared" si="6"/>
        <v>32</v>
      </c>
    </row>
    <row r="329" spans="1:40" x14ac:dyDescent="0.35">
      <c r="A329">
        <v>2024</v>
      </c>
      <c r="B329">
        <v>14</v>
      </c>
      <c r="C329" t="s">
        <v>57</v>
      </c>
      <c r="D329">
        <v>0</v>
      </c>
      <c r="E329">
        <f t="shared" si="6"/>
        <v>32</v>
      </c>
    </row>
    <row r="330" spans="1:40" x14ac:dyDescent="0.35">
      <c r="A330">
        <v>2024</v>
      </c>
      <c r="B330">
        <v>15</v>
      </c>
      <c r="C330" t="s">
        <v>58</v>
      </c>
      <c r="D330">
        <v>0</v>
      </c>
      <c r="E330">
        <f t="shared" si="6"/>
        <v>32</v>
      </c>
    </row>
    <row r="331" spans="1:40" x14ac:dyDescent="0.35">
      <c r="A331">
        <v>2024</v>
      </c>
      <c r="B331">
        <v>16</v>
      </c>
      <c r="C331" t="s">
        <v>60</v>
      </c>
      <c r="D331">
        <v>0</v>
      </c>
      <c r="E331">
        <f t="shared" si="6"/>
        <v>32</v>
      </c>
    </row>
    <row r="332" spans="1:40" x14ac:dyDescent="0.35">
      <c r="A332">
        <v>2024</v>
      </c>
      <c r="B332">
        <v>17</v>
      </c>
      <c r="C332" t="s">
        <v>59</v>
      </c>
      <c r="D332">
        <v>0</v>
      </c>
      <c r="E332">
        <f t="shared" si="6"/>
        <v>32</v>
      </c>
    </row>
    <row r="333" spans="1:40" x14ac:dyDescent="0.35">
      <c r="A333">
        <v>2024</v>
      </c>
      <c r="B333">
        <v>18</v>
      </c>
      <c r="C333" t="s">
        <v>62</v>
      </c>
      <c r="D333">
        <v>1</v>
      </c>
      <c r="E333">
        <f t="shared" si="6"/>
        <v>33</v>
      </c>
      <c r="AH333">
        <v>1</v>
      </c>
    </row>
    <row r="334" spans="1:40" x14ac:dyDescent="0.35">
      <c r="A334">
        <v>2024</v>
      </c>
      <c r="B334">
        <v>19</v>
      </c>
      <c r="C334" t="s">
        <v>63</v>
      </c>
      <c r="D334">
        <v>0</v>
      </c>
      <c r="E334">
        <f t="shared" si="6"/>
        <v>33</v>
      </c>
    </row>
    <row r="335" spans="1:40" x14ac:dyDescent="0.35">
      <c r="A335">
        <v>2024</v>
      </c>
      <c r="B335">
        <v>20</v>
      </c>
      <c r="C335" t="s">
        <v>64</v>
      </c>
      <c r="D335">
        <v>0</v>
      </c>
      <c r="E335">
        <f t="shared" si="6"/>
        <v>33</v>
      </c>
    </row>
    <row r="336" spans="1:40" x14ac:dyDescent="0.35">
      <c r="A336">
        <v>2024</v>
      </c>
      <c r="B336">
        <v>21</v>
      </c>
      <c r="C336" t="s">
        <v>65</v>
      </c>
      <c r="D336">
        <v>0</v>
      </c>
      <c r="E336">
        <f t="shared" si="6"/>
        <v>33</v>
      </c>
    </row>
    <row r="337" spans="1:17" x14ac:dyDescent="0.35">
      <c r="A337">
        <v>2024</v>
      </c>
      <c r="B337">
        <v>22</v>
      </c>
      <c r="C337" t="s">
        <v>66</v>
      </c>
      <c r="D337">
        <v>0</v>
      </c>
      <c r="E337">
        <f t="shared" si="6"/>
        <v>33</v>
      </c>
    </row>
    <row r="338" spans="1:17" x14ac:dyDescent="0.35">
      <c r="A338">
        <v>2024</v>
      </c>
      <c r="B338">
        <v>23</v>
      </c>
      <c r="C338" t="s">
        <v>67</v>
      </c>
      <c r="D338">
        <v>0</v>
      </c>
      <c r="E338">
        <f t="shared" si="6"/>
        <v>33</v>
      </c>
    </row>
    <row r="339" spans="1:17" x14ac:dyDescent="0.35">
      <c r="A339">
        <v>2024</v>
      </c>
      <c r="B339">
        <v>24</v>
      </c>
      <c r="C339" t="s">
        <v>68</v>
      </c>
      <c r="D339">
        <v>0</v>
      </c>
      <c r="E339">
        <f t="shared" si="6"/>
        <v>33</v>
      </c>
    </row>
    <row r="340" spans="1:17" x14ac:dyDescent="0.35">
      <c r="A340">
        <v>2024</v>
      </c>
      <c r="B340">
        <v>25</v>
      </c>
      <c r="C340" t="s">
        <v>69</v>
      </c>
      <c r="D340">
        <v>0</v>
      </c>
      <c r="E340">
        <f t="shared" si="6"/>
        <v>33</v>
      </c>
    </row>
    <row r="341" spans="1:17" x14ac:dyDescent="0.35">
      <c r="A341">
        <v>2024</v>
      </c>
      <c r="B341">
        <v>26</v>
      </c>
      <c r="C341" t="s">
        <v>70</v>
      </c>
      <c r="D341">
        <v>0</v>
      </c>
      <c r="E341">
        <f t="shared" si="6"/>
        <v>33</v>
      </c>
    </row>
    <row r="342" spans="1:17" x14ac:dyDescent="0.35">
      <c r="A342">
        <v>2024</v>
      </c>
      <c r="B342">
        <v>27</v>
      </c>
      <c r="C342" t="s">
        <v>71</v>
      </c>
      <c r="D342">
        <v>0</v>
      </c>
      <c r="E342">
        <f t="shared" si="6"/>
        <v>33</v>
      </c>
    </row>
    <row r="343" spans="1:17" x14ac:dyDescent="0.35">
      <c r="A343">
        <v>2024</v>
      </c>
      <c r="B343">
        <v>28</v>
      </c>
      <c r="C343" t="s">
        <v>72</v>
      </c>
      <c r="D343">
        <v>1</v>
      </c>
      <c r="E343">
        <f t="shared" si="6"/>
        <v>34</v>
      </c>
      <c r="Q343">
        <v>1</v>
      </c>
    </row>
    <row r="344" spans="1:17" x14ac:dyDescent="0.35">
      <c r="A344">
        <v>2024</v>
      </c>
      <c r="B344">
        <v>29</v>
      </c>
      <c r="C344" t="s">
        <v>73</v>
      </c>
      <c r="D344">
        <v>0</v>
      </c>
      <c r="E344">
        <f t="shared" si="6"/>
        <v>34</v>
      </c>
    </row>
    <row r="345" spans="1:17" x14ac:dyDescent="0.35">
      <c r="A345">
        <v>2024</v>
      </c>
      <c r="B345">
        <v>30</v>
      </c>
      <c r="C345" t="s">
        <v>74</v>
      </c>
      <c r="D345">
        <v>0</v>
      </c>
      <c r="E345">
        <f t="shared" si="6"/>
        <v>34</v>
      </c>
    </row>
    <row r="346" spans="1:17" x14ac:dyDescent="0.35">
      <c r="A346">
        <v>2024</v>
      </c>
      <c r="B346">
        <v>31</v>
      </c>
      <c r="C346" t="s">
        <v>75</v>
      </c>
      <c r="D346">
        <v>0</v>
      </c>
      <c r="E346">
        <f t="shared" si="6"/>
        <v>34</v>
      </c>
    </row>
    <row r="347" spans="1:17" x14ac:dyDescent="0.35">
      <c r="A347">
        <v>2024</v>
      </c>
      <c r="B347">
        <v>32</v>
      </c>
      <c r="C347" t="s">
        <v>76</v>
      </c>
      <c r="D347">
        <v>0</v>
      </c>
      <c r="E347">
        <f t="shared" si="6"/>
        <v>34</v>
      </c>
    </row>
    <row r="348" spans="1:17" x14ac:dyDescent="0.35">
      <c r="A348">
        <v>2024</v>
      </c>
      <c r="B348">
        <v>33</v>
      </c>
      <c r="C348" t="s">
        <v>77</v>
      </c>
      <c r="D348">
        <v>1</v>
      </c>
      <c r="E348">
        <f t="shared" si="6"/>
        <v>35</v>
      </c>
      <c r="P348">
        <v>1</v>
      </c>
    </row>
    <row r="349" spans="1:17" x14ac:dyDescent="0.35">
      <c r="A349">
        <v>2024</v>
      </c>
      <c r="B349">
        <v>34</v>
      </c>
      <c r="C349" t="s">
        <v>78</v>
      </c>
      <c r="D349">
        <v>0</v>
      </c>
      <c r="E349">
        <f t="shared" si="6"/>
        <v>35</v>
      </c>
    </row>
    <row r="350" spans="1:17" x14ac:dyDescent="0.35">
      <c r="A350">
        <v>2024</v>
      </c>
      <c r="B350">
        <v>35</v>
      </c>
      <c r="C350" t="s">
        <v>79</v>
      </c>
      <c r="D350">
        <v>0</v>
      </c>
      <c r="E350">
        <f t="shared" si="6"/>
        <v>35</v>
      </c>
    </row>
    <row r="351" spans="1:17" x14ac:dyDescent="0.35">
      <c r="A351">
        <v>2024</v>
      </c>
      <c r="B351">
        <v>36</v>
      </c>
      <c r="C351" t="s">
        <v>80</v>
      </c>
      <c r="D351">
        <v>0</v>
      </c>
      <c r="E351">
        <f t="shared" si="6"/>
        <v>35</v>
      </c>
    </row>
    <row r="352" spans="1:17" x14ac:dyDescent="0.35">
      <c r="A352">
        <v>2024</v>
      </c>
      <c r="B352">
        <v>37</v>
      </c>
      <c r="C352" t="s">
        <v>81</v>
      </c>
      <c r="D352">
        <v>0</v>
      </c>
      <c r="E352">
        <f t="shared" si="6"/>
        <v>35</v>
      </c>
    </row>
    <row r="353" spans="1:5" x14ac:dyDescent="0.35">
      <c r="A353">
        <v>2024</v>
      </c>
      <c r="B353">
        <v>38</v>
      </c>
      <c r="C353" t="s">
        <v>82</v>
      </c>
      <c r="D353">
        <v>0</v>
      </c>
      <c r="E353">
        <f t="shared" si="6"/>
        <v>35</v>
      </c>
    </row>
    <row r="354" spans="1:5" x14ac:dyDescent="0.35">
      <c r="A354">
        <v>2024</v>
      </c>
      <c r="B354">
        <v>39</v>
      </c>
      <c r="C354" t="s">
        <v>83</v>
      </c>
      <c r="D354">
        <v>0</v>
      </c>
      <c r="E354">
        <f t="shared" si="6"/>
        <v>35</v>
      </c>
    </row>
    <row r="355" spans="1:5" x14ac:dyDescent="0.35">
      <c r="A355">
        <v>2024</v>
      </c>
      <c r="B355">
        <v>40</v>
      </c>
      <c r="C355" t="s">
        <v>231</v>
      </c>
      <c r="D355">
        <v>0</v>
      </c>
      <c r="E355">
        <f t="shared" si="6"/>
        <v>35</v>
      </c>
    </row>
    <row r="356" spans="1:5" x14ac:dyDescent="0.35">
      <c r="A356">
        <v>2024</v>
      </c>
      <c r="B356">
        <v>41</v>
      </c>
      <c r="C356" t="s">
        <v>172</v>
      </c>
      <c r="D356">
        <v>0</v>
      </c>
      <c r="E356">
        <f t="shared" si="6"/>
        <v>35</v>
      </c>
    </row>
    <row r="357" spans="1:5" x14ac:dyDescent="0.35">
      <c r="A357">
        <v>2024</v>
      </c>
      <c r="B357">
        <v>42</v>
      </c>
      <c r="C357" t="s">
        <v>232</v>
      </c>
      <c r="D357">
        <v>0</v>
      </c>
      <c r="E357">
        <f t="shared" si="6"/>
        <v>35</v>
      </c>
    </row>
    <row r="358" spans="1:5" x14ac:dyDescent="0.35">
      <c r="A358">
        <v>2024</v>
      </c>
      <c r="B358">
        <v>43</v>
      </c>
      <c r="C358" t="s">
        <v>233</v>
      </c>
      <c r="D358">
        <v>0</v>
      </c>
      <c r="E358">
        <f t="shared" si="6"/>
        <v>35</v>
      </c>
    </row>
    <row r="359" spans="1:5" x14ac:dyDescent="0.35">
      <c r="A359">
        <v>2024</v>
      </c>
      <c r="B359">
        <v>44</v>
      </c>
      <c r="C359" t="s">
        <v>234</v>
      </c>
      <c r="D359">
        <v>0</v>
      </c>
      <c r="E359">
        <f t="shared" si="6"/>
        <v>35</v>
      </c>
    </row>
    <row r="360" spans="1:5" x14ac:dyDescent="0.35">
      <c r="A360">
        <v>2024</v>
      </c>
      <c r="B360">
        <v>45</v>
      </c>
      <c r="C360" t="s">
        <v>235</v>
      </c>
      <c r="D360">
        <v>0</v>
      </c>
      <c r="E360">
        <f t="shared" si="6"/>
        <v>35</v>
      </c>
    </row>
    <row r="361" spans="1:5" x14ac:dyDescent="0.35">
      <c r="A361">
        <v>2024</v>
      </c>
      <c r="B361">
        <v>46</v>
      </c>
      <c r="C361" t="s">
        <v>236</v>
      </c>
      <c r="D361">
        <v>0</v>
      </c>
      <c r="E361">
        <f t="shared" si="6"/>
        <v>35</v>
      </c>
    </row>
    <row r="362" spans="1:5" x14ac:dyDescent="0.35">
      <c r="A362">
        <v>2024</v>
      </c>
      <c r="B362">
        <v>47</v>
      </c>
      <c r="C362" t="s">
        <v>237</v>
      </c>
      <c r="D362">
        <v>0</v>
      </c>
      <c r="E362">
        <f t="shared" si="6"/>
        <v>35</v>
      </c>
    </row>
    <row r="363" spans="1:5" x14ac:dyDescent="0.35">
      <c r="A363">
        <v>2024</v>
      </c>
      <c r="B363">
        <v>48</v>
      </c>
      <c r="C363" t="s">
        <v>238</v>
      </c>
      <c r="D363">
        <v>0</v>
      </c>
      <c r="E363">
        <f t="shared" si="6"/>
        <v>35</v>
      </c>
    </row>
    <row r="364" spans="1:5" x14ac:dyDescent="0.35">
      <c r="A364">
        <v>2024</v>
      </c>
      <c r="B364">
        <v>49</v>
      </c>
      <c r="C364" t="s">
        <v>239</v>
      </c>
      <c r="D364">
        <v>0</v>
      </c>
      <c r="E364">
        <f t="shared" si="6"/>
        <v>35</v>
      </c>
    </row>
    <row r="365" spans="1:5" x14ac:dyDescent="0.35">
      <c r="A365">
        <v>2024</v>
      </c>
      <c r="B365">
        <v>50</v>
      </c>
      <c r="C365" t="s">
        <v>240</v>
      </c>
      <c r="D365">
        <v>0</v>
      </c>
      <c r="E365">
        <f t="shared" si="6"/>
        <v>35</v>
      </c>
    </row>
    <row r="366" spans="1:5" x14ac:dyDescent="0.35">
      <c r="A366">
        <v>2024</v>
      </c>
      <c r="B366">
        <v>51</v>
      </c>
      <c r="C366" t="s">
        <v>241</v>
      </c>
      <c r="D366">
        <v>0</v>
      </c>
      <c r="E366">
        <f t="shared" si="6"/>
        <v>35</v>
      </c>
    </row>
    <row r="367" spans="1:5" s="11" customFormat="1" x14ac:dyDescent="0.35">
      <c r="A367" s="11">
        <v>2024</v>
      </c>
      <c r="B367" s="11">
        <v>52</v>
      </c>
      <c r="C367" s="11" t="s">
        <v>43</v>
      </c>
      <c r="D367" s="11">
        <v>0</v>
      </c>
      <c r="E367" s="11">
        <f t="shared" si="6"/>
        <v>35</v>
      </c>
    </row>
    <row r="368" spans="1:5" x14ac:dyDescent="0.35">
      <c r="A368" s="12">
        <v>2025</v>
      </c>
      <c r="B368" s="12">
        <v>1</v>
      </c>
      <c r="C368" s="12" t="s">
        <v>242</v>
      </c>
      <c r="D368" s="12">
        <v>0</v>
      </c>
      <c r="E368" s="12">
        <v>0</v>
      </c>
    </row>
    <row r="369" spans="1:40" x14ac:dyDescent="0.35">
      <c r="A369" s="12">
        <v>2025</v>
      </c>
      <c r="B369" s="12">
        <v>2</v>
      </c>
      <c r="C369" s="12" t="s">
        <v>243</v>
      </c>
      <c r="D369" s="12">
        <v>1</v>
      </c>
      <c r="E369" s="12">
        <f>E368+D369</f>
        <v>1</v>
      </c>
      <c r="U369">
        <v>1</v>
      </c>
    </row>
    <row r="370" spans="1:40" x14ac:dyDescent="0.35">
      <c r="A370" s="12">
        <v>2025</v>
      </c>
      <c r="B370" s="12">
        <v>3</v>
      </c>
      <c r="C370" s="12" t="s">
        <v>244</v>
      </c>
      <c r="D370" s="12">
        <v>1</v>
      </c>
      <c r="E370" s="12">
        <f t="shared" ref="E370:E376" si="7">E369+D370</f>
        <v>2</v>
      </c>
      <c r="AN370">
        <v>1</v>
      </c>
    </row>
    <row r="371" spans="1:40" x14ac:dyDescent="0.35">
      <c r="A371" s="12">
        <v>2025</v>
      </c>
      <c r="B371" s="12">
        <v>4</v>
      </c>
      <c r="C371" s="12" t="s">
        <v>245</v>
      </c>
      <c r="D371" s="12">
        <v>6</v>
      </c>
      <c r="E371" s="12">
        <f t="shared" si="7"/>
        <v>8</v>
      </c>
      <c r="AH371">
        <v>6</v>
      </c>
    </row>
    <row r="372" spans="1:40" x14ac:dyDescent="0.35">
      <c r="A372" s="12">
        <v>2025</v>
      </c>
      <c r="B372" s="12">
        <v>5</v>
      </c>
      <c r="C372" s="12" t="s">
        <v>246</v>
      </c>
      <c r="D372" s="12">
        <v>3</v>
      </c>
      <c r="E372" s="12">
        <f t="shared" si="7"/>
        <v>11</v>
      </c>
      <c r="Q372">
        <v>1</v>
      </c>
      <c r="AH372">
        <v>2</v>
      </c>
    </row>
    <row r="373" spans="1:40" x14ac:dyDescent="0.35">
      <c r="A373" s="12">
        <v>2025</v>
      </c>
      <c r="B373" s="12">
        <v>6</v>
      </c>
      <c r="C373" s="12" t="s">
        <v>247</v>
      </c>
      <c r="D373" s="12">
        <v>4</v>
      </c>
      <c r="E373" s="12">
        <f t="shared" si="7"/>
        <v>15</v>
      </c>
      <c r="J373">
        <v>3</v>
      </c>
      <c r="U373">
        <v>1</v>
      </c>
    </row>
    <row r="374" spans="1:40" x14ac:dyDescent="0.35">
      <c r="A374" s="12">
        <v>2025</v>
      </c>
      <c r="B374" s="12">
        <v>7</v>
      </c>
      <c r="C374" s="12" t="s">
        <v>248</v>
      </c>
      <c r="D374" s="12">
        <v>0</v>
      </c>
      <c r="E374" s="12">
        <f t="shared" si="7"/>
        <v>15</v>
      </c>
    </row>
    <row r="375" spans="1:40" x14ac:dyDescent="0.35">
      <c r="A375" s="12">
        <v>2025</v>
      </c>
      <c r="B375" s="12">
        <v>8</v>
      </c>
      <c r="C375" s="12" t="s">
        <v>249</v>
      </c>
      <c r="D375" s="12">
        <v>1</v>
      </c>
      <c r="E375" s="12">
        <f t="shared" si="7"/>
        <v>16</v>
      </c>
      <c r="J375">
        <v>1</v>
      </c>
    </row>
    <row r="376" spans="1:40" x14ac:dyDescent="0.35">
      <c r="A376" s="12">
        <v>2025</v>
      </c>
      <c r="B376" s="12">
        <v>9</v>
      </c>
      <c r="C376" s="12" t="s">
        <v>301</v>
      </c>
      <c r="D376" s="12">
        <v>1</v>
      </c>
      <c r="E376" s="12">
        <f t="shared" si="7"/>
        <v>17</v>
      </c>
      <c r="AN376">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cases by year</vt:lpstr>
      <vt:lpstr>HCW by week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Holohan</dc:creator>
  <cp:lastModifiedBy>David Smith</cp:lastModifiedBy>
  <dcterms:created xsi:type="dcterms:W3CDTF">2025-03-06T11:16:08Z</dcterms:created>
  <dcterms:modified xsi:type="dcterms:W3CDTF">2025-03-26T15:19:26Z</dcterms:modified>
</cp:coreProperties>
</file>